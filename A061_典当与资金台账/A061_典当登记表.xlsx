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资料" sheetId="2" state="visible" r:id="rId2"/>
    <sheet name="表1不动产登记" sheetId="3" state="visible" r:id="rId3"/>
    <sheet name="表2客户典当登记" sheetId="4" state="visible" r:id="rId4"/>
    <sheet name="金辉典当" sheetId="5" state="visible" r:id="rId5"/>
    <sheet name="明道典当" sheetId="6" state="visible" r:id="rId6"/>
    <sheet name="个人典当" sheetId="7" state="visible" r:id="rId7"/>
    <sheet name="查询表（新）" sheetId="8" state="visible" r:id="rId8"/>
    <sheet name="查询表" sheetId="9" state="visible" r:id="rId9"/>
  </sheets>
  <externalReferences>
    <externalReference r:id="rId12"/>
  </externalReferences>
  <definedNames>
    <definedName name="日滞纳金率">资料!$L$4</definedName>
    <definedName name="机构表">资料!$A$4:$A$13</definedName>
    <definedName name="物品表">资料!$C$4:$C$43</definedName>
    <definedName name="状态表">资料!$E$4:$E$33</definedName>
    <definedName name="付息表">资料!$G$4:$G$13</definedName>
    <definedName name="客户名单">资料!$I$4:$I$503</definedName>
    <definedName name="_xlnm._FilterDatabase" localSheetId="2" hidden="1">'表1不动产登记'!$A$3:$AA$123</definedName>
    <definedName name="_xlnm._FilterDatabase" localSheetId="3" hidden="1">'表2客户典当登记'!$A$3:$X$403</definedName>
  </definedName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4">
    <numFmt numFmtId="164" formatCode="0.0000"/>
    <numFmt numFmtId="165" formatCode="yyyy-mm-dd"/>
    <numFmt numFmtId="166" formatCode="0.000"/>
    <numFmt numFmtId="167" formatCode="yyyy-mm-dd;;;@"/>
  </numFmts>
  <fonts count="17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8B5E0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color rgb="00808080"/>
      <sz val="9"/>
    </font>
    <font>
      <name val="微软雅黑"/>
      <color rgb="007F7F7F"/>
      <sz val="10"/>
    </font>
    <font>
      <name val="微软雅黑"/>
      <b val="1"/>
      <color rgb="00FFFFFF"/>
      <sz val="9"/>
    </font>
    <font>
      <name val="微软雅黑"/>
      <b val="1"/>
      <color rgb="00C00000"/>
      <sz val="10"/>
    </font>
    <font>
      <name val="微软雅黑"/>
      <b val="1"/>
      <sz val="11"/>
    </font>
    <font>
      <name val="微软雅黑"/>
      <b val="1"/>
      <color rgb="00C00000"/>
      <sz val="13"/>
    </font>
    <font>
      <name val="微软雅黑"/>
      <b val="1"/>
      <sz val="10"/>
    </font>
    <font>
      <name val="微软雅黑"/>
      <b val="1"/>
      <color rgb="00FFFFFF"/>
      <sz val="11"/>
    </font>
    <font>
      <name val="微软雅黑"/>
      <b val="1"/>
      <color rgb="00C00000"/>
      <sz val="9"/>
    </font>
    <font>
      <name val="微软雅黑"/>
      <b val="1"/>
      <color rgb="00FFFFFF"/>
      <sz val="12"/>
    </font>
    <font>
      <name val="微软雅黑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7030A0"/>
      </patternFill>
    </fill>
    <fill>
      <patternFill patternType="solid">
        <fgColor rgb="00FFFBEA"/>
      </patternFill>
    </fill>
    <fill>
      <patternFill patternType="solid">
        <fgColor rgb="00F2F2F2"/>
      </patternFill>
    </fill>
    <fill>
      <patternFill patternType="solid">
        <fgColor rgb="002F5597"/>
      </patternFill>
    </fill>
    <fill>
      <patternFill patternType="solid">
        <fgColor rgb="00806000"/>
      </patternFill>
    </fill>
    <fill>
      <patternFill patternType="solid">
        <fgColor rgb="00FFF2CC"/>
      </patternFill>
    </fill>
    <fill>
      <patternFill patternType="solid">
        <fgColor rgb="0037562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5" fillId="7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" fontId="9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" fontId="7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4" fontId="9" fillId="9" borderId="1" applyAlignment="1" pivotButton="0" quotePrefix="0" xfId="0">
      <alignment horizontal="center" vertical="center" wrapText="1"/>
    </xf>
    <xf numFmtId="167" fontId="7" fillId="6" borderId="1" applyAlignment="1" pivotButton="0" quotePrefix="0" xfId="0">
      <alignment horizontal="center" vertical="center" wrapText="1"/>
    </xf>
    <xf numFmtId="166" fontId="7" fillId="6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49" fontId="9" fillId="5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b val="1"/>
        <color rgb="00C00000"/>
      </font>
    </dxf>
    <dxf>
      <font>
        <b val="1"/>
        <color rgb="00C00000"/>
      </font>
      <fill>
        <patternFill patternType="solid">
          <fgColor rgb="00FFD7D7"/>
        </patternFill>
      </fill>
    </dxf>
    <dxf>
      <font>
        <name val="微软雅黑"/>
        <b val="1"/>
        <color rgb="00FFFFFF"/>
        <sz val="10"/>
      </font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Id="rId12" Type="http://schemas.openxmlformats.org/officeDocument/2006/relationships/externalLink" Target="externalLinks/externalLink1.xml"/><Relationship Id="rId13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061_&#36164;&#37329;&#21488;&#3613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录入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43"/>
  <sheetViews>
    <sheetView tabSelected="1"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62" customWidth="1" min="3" max="3"/>
    <col width="22" customWidth="1" min="4" max="4"/>
  </cols>
  <sheetData>
    <row r="1" ht="30" customHeight="1">
      <c r="A1" s="1" t="inlineStr">
        <is>
          <t>典当登记表 · 使用说明</t>
        </is>
      </c>
      <c r="B1" s="2" t="n"/>
      <c r="C1" s="2" t="n"/>
      <c r="D1" s="3" t="n"/>
    </row>
    <row r="3" ht="24" customHeight="1">
      <c r="A3" s="4" t="inlineStr">
        <is>
          <t>一、八张表，各管一段</t>
        </is>
      </c>
      <c r="B3" s="2" t="n"/>
      <c r="C3" s="2" t="n"/>
      <c r="D3" s="3" t="n"/>
    </row>
    <row r="4">
      <c r="A4" s="5" t="inlineStr">
        <is>
          <t>表名</t>
        </is>
      </c>
      <c r="B4" s="6" t="inlineStr">
        <is>
          <t>谁用</t>
        </is>
      </c>
      <c r="C4" s="7" t="inlineStr">
        <is>
          <t>干什么</t>
        </is>
      </c>
      <c r="D4" s="3" t="n"/>
    </row>
    <row r="5">
      <c r="A5" s="5" t="inlineStr">
        <is>
          <t>资料</t>
        </is>
      </c>
      <c r="B5" s="6" t="inlineStr">
        <is>
          <t>管理员</t>
        </is>
      </c>
      <c r="C5" s="7" t="inlineStr">
        <is>
          <t>所有下拉菜单的来源：抵押机构、抵押物品、状态、付息方式、客户名单、日滞纳金率。</t>
        </is>
      </c>
      <c r="D5" s="3" t="n"/>
    </row>
    <row r="6">
      <c r="A6" s="5" t="inlineStr">
        <is>
          <t>表1不动产登记</t>
        </is>
      </c>
      <c r="B6" s="6" t="inlineStr">
        <is>
          <t>登记员</t>
        </is>
      </c>
      <c r="C6" s="7" t="inlineStr">
        <is>
          <t>金辉典当的不动产，单独一张，跟表2不混。逾期天数、应收滞纳金自动算。</t>
        </is>
      </c>
      <c r="D6" s="3" t="n"/>
    </row>
    <row r="7">
      <c r="A7" s="5" t="inlineStr">
        <is>
          <t>表2客户典当登记</t>
        </is>
      </c>
      <c r="B7" s="6" t="inlineStr">
        <is>
          <t>登记员</t>
        </is>
      </c>
      <c r="C7" s="7" t="inlineStr">
        <is>
          <t>客户典当总表，所有机构都在这里登记。这是唯一要填的主表。</t>
        </is>
      </c>
      <c r="D7" s="3" t="n"/>
    </row>
    <row r="8">
      <c r="A8" s="5" t="inlineStr">
        <is>
          <t>金辉典当</t>
        </is>
      </c>
      <c r="B8" s="6" t="inlineStr">
        <is>
          <t>看</t>
        </is>
      </c>
      <c r="C8" s="7" t="inlineStr">
        <is>
          <t>自动从表2拆出来，不用填。</t>
        </is>
      </c>
      <c r="D8" s="3" t="n"/>
    </row>
    <row r="9">
      <c r="A9" s="5" t="inlineStr">
        <is>
          <t>明道典当</t>
        </is>
      </c>
      <c r="B9" s="6" t="inlineStr">
        <is>
          <t>看</t>
        </is>
      </c>
      <c r="C9" s="7" t="inlineStr">
        <is>
          <t>同上（这次新增的机构）。</t>
        </is>
      </c>
      <c r="D9" s="3" t="n"/>
    </row>
    <row r="10">
      <c r="A10" s="5" t="inlineStr">
        <is>
          <t>个人典当</t>
        </is>
      </c>
      <c r="B10" s="6" t="inlineStr">
        <is>
          <t>看</t>
        </is>
      </c>
      <c r="C10" s="7" t="inlineStr">
        <is>
          <t>同上。原来叫「个人借款」，统一改成「个人典当」，跟子表名对上。</t>
        </is>
      </c>
      <c r="D10" s="3" t="n"/>
    </row>
    <row r="11">
      <c r="A11" s="5" t="inlineStr">
        <is>
          <t>查询表（新）</t>
        </is>
      </c>
      <c r="B11" s="6" t="inlineStr">
        <is>
          <t>查客户</t>
        </is>
      </c>
      <c r="C11" s="7" t="inlineStr">
        <is>
          <t>★ 主用这张。第 1 行输姓名（同名才补身份证号），左边典当明细、右边资金收付并排看，下面是不动产。</t>
        </is>
      </c>
      <c r="D11" s="3" t="n"/>
    </row>
    <row r="12">
      <c r="A12" s="5" t="inlineStr">
        <is>
          <t>查询表</t>
        </is>
      </c>
      <c r="B12" s="6" t="inlineStr">
        <is>
          <t>查客户</t>
        </is>
      </c>
      <c r="C12" s="7" t="inlineStr">
        <is>
          <t>旧版，三块竖着排，内容一样，保留备用。不想要可以右键删掉。</t>
        </is>
      </c>
      <c r="D12" s="3" t="n"/>
    </row>
    <row r="14" ht="24" customHeight="1">
      <c r="A14" s="4" t="inlineStr">
        <is>
          <t>二、三张子表是怎么自动拆出来的</t>
        </is>
      </c>
      <c r="B14" s="2" t="n"/>
      <c r="C14" s="2" t="n"/>
      <c r="D14" s="3" t="n"/>
    </row>
    <row r="15">
      <c r="A15" s="5" t="inlineStr">
        <is>
          <t>公式</t>
        </is>
      </c>
      <c r="B15" s="6" t="inlineStr">
        <is>
          <t>FILTER</t>
        </is>
      </c>
      <c r="C15" s="7" t="inlineStr">
        <is>
          <t>每张子表的 A4 是一条 FILTER：把表2里「抵押机构 = 本表名字」的行整块搬过来。</t>
        </is>
      </c>
      <c r="D15" s="3" t="n"/>
    </row>
    <row r="16">
      <c r="A16" s="5" t="inlineStr">
        <is>
          <t>所以</t>
        </is>
      </c>
      <c r="B16" s="6" t="inlineStr">
        <is>
          <t>别在子表里打字</t>
        </is>
      </c>
      <c r="C16" s="7" t="inlineStr">
        <is>
          <t>子表整块是一条公式的结果，手动输入会把公式顶掉。要改去表2改。</t>
        </is>
      </c>
      <c r="D16" s="3" t="n"/>
    </row>
    <row r="17">
      <c r="A17" s="5" t="inlineStr">
        <is>
          <t>新增机构</t>
        </is>
      </c>
      <c r="B17" s="6" t="inlineStr">
        <is>
          <t>两步</t>
        </is>
      </c>
      <c r="C17" s="7" t="inlineStr">
        <is>
          <t>① 在【资料】A 列加机构名；② 复制一张子表，把 B2 改成新机构名即可。</t>
        </is>
      </c>
      <c r="D17" s="3" t="n"/>
    </row>
    <row r="19" ht="24" customHeight="1">
      <c r="A19" s="4" t="inlineStr">
        <is>
          <t>三、【查询表（新）】怎么用</t>
        </is>
      </c>
      <c r="B19" s="2" t="n"/>
      <c r="C19" s="2" t="n"/>
      <c r="D19" s="3" t="n"/>
    </row>
    <row r="20">
      <c r="A20" s="5" t="inlineStr">
        <is>
          <t>第 1 步</t>
        </is>
      </c>
      <c r="B20" s="6" t="inlineStr">
        <is>
          <t>打开两个文件</t>
        </is>
      </c>
      <c r="C20" s="7" t="inlineStr">
        <is>
          <t>《A061_典当登记表.xlsx》和《A061_资金台账.xlsx》都要打开。</t>
        </is>
      </c>
      <c r="D20" s="3" t="n"/>
    </row>
    <row r="21">
      <c r="A21" s="5" t="inlineStr">
        <is>
          <t>第 2 步</t>
        </is>
      </c>
      <c r="B21" s="6" t="inlineStr">
        <is>
          <t>B1 选姓名</t>
        </is>
      </c>
      <c r="C21" s="7" t="inlineStr">
        <is>
          <t>第 1 行 B1 那格选（或直接打）客户姓名，三块明细和汇总条全部自动跳出来。</t>
        </is>
      </c>
      <c r="D21" s="3" t="n"/>
    </row>
    <row r="22">
      <c r="A22" s="5" t="inlineStr">
        <is>
          <t>第 3 步（一般用不上）</t>
        </is>
      </c>
      <c r="B22" s="6" t="inlineStr">
        <is>
          <t>E1 填身份证号</t>
        </is>
      </c>
      <c r="C22" s="7" t="inlineStr">
        <is>
          <t>只有碰到同名客户才要填。B1 右边的黄条会提示：「这个姓名下登了 N 个不同的身份证号」，看到了再去 E1 填身份证号，左边典当那块就只剩这个人的。没同名就别填。</t>
        </is>
      </c>
      <c r="D22" s="3" t="n"/>
    </row>
    <row r="23">
      <c r="A23" s="5" t="inlineStr">
        <is>
          <t>身份证号从哪来</t>
        </is>
      </c>
      <c r="B23" s="6" t="inlineStr">
        <is>
          <t>表2 的 F 列</t>
        </is>
      </c>
      <c r="C23" s="7" t="inlineStr">
        <is>
          <t>在【表2客户典当登记】的「身份证号」列登。表1 不动产和资金台账里没有这一列，那两块只能按姓名查——黄条里也写着。</t>
        </is>
      </c>
      <c r="D23" s="3" t="n"/>
    </row>
    <row r="24">
      <c r="A24" s="5" t="inlineStr">
        <is>
          <t>为什么要都打开</t>
        </is>
      </c>
      <c r="B24" s="6" t="inlineStr">
        <is>
          <t>Excel 的规矩</t>
        </is>
      </c>
      <c r="C24" s="7" t="inlineStr">
        <is>
          <t>FILTER、SUMIF 这类公式读不了「关着的」工作簿，只能读打开着的。关着的时候右边那块会显示「取不到数」，把资金台账打开就回来了。</t>
        </is>
      </c>
      <c r="D24" s="3" t="n"/>
    </row>
    <row r="25">
      <c r="A25" s="5" t="inlineStr">
        <is>
          <t>两个文件要放一起</t>
        </is>
      </c>
      <c r="B25" s="6" t="inlineStr">
        <is>
          <t>同一个文件夹</t>
        </is>
      </c>
      <c r="C25" s="7" t="inlineStr">
        <is>
          <t>文件名一个字都不能改。从聊天里下载重名会变成「(1)」，要把括号那段删掉。</t>
        </is>
      </c>
      <c r="D25" s="3" t="n"/>
    </row>
    <row r="27" ht="24" customHeight="1">
      <c r="A27" s="4" t="inlineStr">
        <is>
          <t>四、颜色和符号</t>
        </is>
      </c>
      <c r="B27" s="2" t="n"/>
      <c r="C27" s="2" t="n"/>
      <c r="D27" s="3" t="n"/>
    </row>
    <row r="28">
      <c r="A28" s="5" t="inlineStr">
        <is>
          <t>淡黄色格子</t>
        </is>
      </c>
      <c r="B28" s="6" t="inlineStr">
        <is>
          <t>请填写</t>
        </is>
      </c>
      <c r="C28" s="7" t="inlineStr">
        <is>
          <t>这是要人填的。</t>
        </is>
      </c>
      <c r="D28" s="3" t="n"/>
    </row>
    <row r="29">
      <c r="A29" s="5" t="inlineStr">
        <is>
          <t>灰色格子</t>
        </is>
      </c>
      <c r="B29" s="6" t="inlineStr">
        <is>
          <t>公式自动算</t>
        </is>
      </c>
      <c r="C29" s="7" t="inlineStr">
        <is>
          <t>别手动改。</t>
        </is>
      </c>
      <c r="D29" s="3" t="n"/>
    </row>
    <row r="30">
      <c r="A30" s="5" t="inlineStr">
        <is>
          <t>※ 开头的红字</t>
        </is>
      </c>
      <c r="B30" s="6" t="inlineStr">
        <is>
          <t>有问题</t>
        </is>
      </c>
      <c r="C30" s="7" t="inlineStr">
        <is>
          <t>「核对」列会自己挑毛病：机构/状态不在名单、已还本金大于典当金额、到期日早于当票日期、当票号重复。</t>
        </is>
      </c>
      <c r="D30" s="3" t="n"/>
    </row>
    <row r="32" ht="24" customHeight="1">
      <c r="A32" s="4" t="inlineStr">
        <is>
          <t>五、这次从原表搬过来的</t>
        </is>
      </c>
      <c r="B32" s="2" t="n"/>
      <c r="C32" s="2" t="n"/>
      <c r="D32" s="3" t="n"/>
    </row>
    <row r="33">
      <c r="A33" s="8" t="inlineStr">
        <is>
          <t>· 表2（原 Sheet2）201 行全部搬过来，「个人借款」统一改名「个人典当」（134 笔），金辉典当 67 笔。</t>
        </is>
      </c>
      <c r="B33" s="2" t="n"/>
      <c r="C33" s="2" t="n"/>
      <c r="D33" s="3" t="n"/>
    </row>
    <row r="34">
      <c r="A34" s="8" t="inlineStr">
        <is>
          <t>· 表1（原 Sheet1）67 行全部搬过来。</t>
        </is>
      </c>
      <c r="B34" s="2" t="n"/>
      <c r="C34" s="2" t="n"/>
      <c r="D34" s="3" t="n"/>
    </row>
    <row r="35">
      <c r="A35" s="8" t="inlineStr">
        <is>
          <t>· 新加了「身份证号」「客户电话」两列（空着，你自己补），查询表按姓名查，身份证号自动带出来。</t>
        </is>
      </c>
      <c r="B35" s="2" t="n"/>
      <c r="C35" s="2" t="n"/>
      <c r="D35" s="3" t="n"/>
    </row>
    <row r="36">
      <c r="A36" s="8" t="inlineStr">
        <is>
          <t>· 新加了「当前在当」列 = 典当金额 − 已还本金，自动算。</t>
        </is>
      </c>
      <c r="B36" s="2" t="n"/>
      <c r="C36" s="2" t="n"/>
      <c r="D36" s="3" t="n"/>
    </row>
    <row r="37">
      <c r="A37" s="8" t="inlineStr">
        <is>
          <t>· 新加了「核对」列，逐行挑毛病。</t>
        </is>
      </c>
      <c r="B37" s="2" t="n"/>
      <c r="C37" s="2" t="n"/>
      <c r="D37" s="3" t="n"/>
    </row>
    <row r="38">
      <c r="A38" s="8" t="inlineStr">
        <is>
          <t>· 原来「应收金额」改叫「应收利息」，位置挪到「典当系统费率」后面，看起来更顺。</t>
        </is>
      </c>
      <c r="B38" s="2" t="n"/>
      <c r="C38" s="2" t="n"/>
      <c r="D38" s="3" t="n"/>
    </row>
    <row r="39">
      <c r="A39" s="8" t="inlineStr">
        <is>
          <t>· ⚠ 查过了：【表1】那 67 行，跟【表2】里机构=金辉典当的 67 行是同一批当（姓名+金额+当票号 66 行完全一致）。</t>
        </is>
      </c>
      <c r="B39" s="2" t="n"/>
      <c r="C39" s="2" t="n"/>
      <c r="D39" s="3" t="n"/>
    </row>
    <row r="40">
      <c r="A40" s="8" t="inlineStr">
        <is>
          <t xml:space="preserve">　 表1 多出来的是收款拆分（对公/林总/建行民生/微信）、违约金、滞纳金。所以两张表的金额**不能相加**，</t>
        </is>
      </c>
      <c r="B40" s="2" t="n"/>
      <c r="C40" s="2" t="n"/>
      <c r="D40" s="3" t="n"/>
    </row>
    <row r="41">
      <c r="A41" s="8" t="inlineStr">
        <is>
          <t xml:space="preserve">　 查询表里也分成两块单独列，就是这个原因。</t>
        </is>
      </c>
      <c r="B41" s="2" t="n"/>
      <c r="C41" s="2" t="n"/>
      <c r="D41" s="3" t="n"/>
    </row>
    <row r="42">
      <c r="A42" s="8" t="inlineStr">
        <is>
          <t>· 「典当系统费率」这一列各行口径不一样（有的按月、有的按日），所以没拿它去反推利息对错，</t>
        </is>
      </c>
      <c r="B42" s="2" t="n"/>
      <c r="C42" s="2" t="n"/>
      <c r="D42" s="3" t="n"/>
    </row>
    <row r="43">
      <c r="A43" s="8" t="inlineStr">
        <is>
          <t xml:space="preserve">　 免得整屏报警。要核利息请直接看「应收利息」那一列。</t>
        </is>
      </c>
      <c r="B43" s="2" t="n"/>
      <c r="C43" s="2" t="n"/>
      <c r="D43" s="3" t="n"/>
    </row>
  </sheetData>
  <mergeCells count="38">
    <mergeCell ref="C6:D6"/>
    <mergeCell ref="C24:D24"/>
    <mergeCell ref="C30:D30"/>
    <mergeCell ref="C15:D15"/>
    <mergeCell ref="A35:D35"/>
    <mergeCell ref="C5:D5"/>
    <mergeCell ref="A38:D38"/>
    <mergeCell ref="A43:D43"/>
    <mergeCell ref="A19:D19"/>
    <mergeCell ref="C4:D4"/>
    <mergeCell ref="C20:D20"/>
    <mergeCell ref="A40:D40"/>
    <mergeCell ref="C29:D29"/>
    <mergeCell ref="C10:D10"/>
    <mergeCell ref="C16:D16"/>
    <mergeCell ref="A34:D34"/>
    <mergeCell ref="C25:D25"/>
    <mergeCell ref="A39:D39"/>
    <mergeCell ref="C22:D22"/>
    <mergeCell ref="C9:D9"/>
    <mergeCell ref="A36:D36"/>
    <mergeCell ref="A1:D1"/>
    <mergeCell ref="C12:D12"/>
    <mergeCell ref="C21:D21"/>
    <mergeCell ref="C11:D11"/>
    <mergeCell ref="A41:D41"/>
    <mergeCell ref="C17:D17"/>
    <mergeCell ref="C23:D23"/>
    <mergeCell ref="C8:D8"/>
    <mergeCell ref="A37:D37"/>
    <mergeCell ref="A27:D27"/>
    <mergeCell ref="C7:D7"/>
    <mergeCell ref="A3:D3"/>
    <mergeCell ref="C28:D28"/>
    <mergeCell ref="A33:D33"/>
    <mergeCell ref="A42:D42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3" max="3"/>
    <col width="16" customWidth="1" min="5" max="5"/>
    <col width="14" customWidth="1" min="7" max="7"/>
    <col width="18" customWidth="1" min="9" max="9"/>
    <col width="16" customWidth="1" min="11" max="11"/>
    <col width="12" customWidth="1" min="12" max="12"/>
  </cols>
  <sheetData>
    <row r="1" ht="30" customHeight="1">
      <c r="A1" s="9" t="inlineStr">
        <is>
          <t>资料 · 下拉菜单的来源</t>
        </is>
      </c>
    </row>
    <row r="2" ht="22" customHeight="1">
      <c r="A2" s="10" t="inlineStr">
        <is>
          <t>要加机构、加抵押物品、加状态，就在这里往下接着写，别留空行。</t>
        </is>
      </c>
    </row>
    <row r="3">
      <c r="A3" s="11" t="inlineStr">
        <is>
          <t>抵押机构</t>
        </is>
      </c>
      <c r="C3" s="11" t="inlineStr">
        <is>
          <t>抵押物品</t>
        </is>
      </c>
      <c r="E3" s="11" t="inlineStr">
        <is>
          <t>状态</t>
        </is>
      </c>
      <c r="G3" s="11" t="inlineStr">
        <is>
          <t>付息方式</t>
        </is>
      </c>
      <c r="I3" s="11" t="inlineStr">
        <is>
          <t>客户名单(自动)</t>
        </is>
      </c>
      <c r="K3" s="11" t="inlineStr">
        <is>
          <t>参数</t>
        </is>
      </c>
      <c r="L3" s="11" t="inlineStr">
        <is>
          <t>数值</t>
        </is>
      </c>
    </row>
    <row r="4">
      <c r="A4" s="12" t="inlineStr">
        <is>
          <t>金辉典当</t>
        </is>
      </c>
      <c r="C4" s="12" t="inlineStr">
        <is>
          <t>房产</t>
        </is>
      </c>
      <c r="E4" s="12" t="inlineStr">
        <is>
          <t>在当</t>
        </is>
      </c>
      <c r="G4" s="12" t="inlineStr">
        <is>
          <t>先息</t>
        </is>
      </c>
      <c r="I4" s="13" t="inlineStr">
        <is>
          <t>严为志</t>
        </is>
      </c>
      <c r="K4" s="12" t="inlineStr">
        <is>
          <t>日滞纳金率</t>
        </is>
      </c>
      <c r="L4" s="14" t="n">
        <v>0.001</v>
      </c>
      <c r="M4" s="15" t="inlineStr">
        <is>
          <t>表1「应收滞纳金」用它算：典当金额 × 本比率 × 逾期天数 − 已收违约金</t>
        </is>
      </c>
    </row>
    <row r="5">
      <c r="A5" s="12" t="inlineStr">
        <is>
          <t>明道典当</t>
        </is>
      </c>
      <c r="C5" s="12" t="inlineStr">
        <is>
          <t>车子</t>
        </is>
      </c>
      <c r="E5" s="12" t="inlineStr">
        <is>
          <t>在当-无息</t>
        </is>
      </c>
      <c r="G5" s="12" t="inlineStr">
        <is>
          <t>后息</t>
        </is>
      </c>
      <c r="I5" s="13" t="inlineStr">
        <is>
          <t>何博文</t>
        </is>
      </c>
      <c r="K5" s="11" t="inlineStr">
        <is>
          <t>名单没收到的新客户</t>
        </is>
      </c>
      <c r="L5" s="16">
        <f>SUMPRODUCT((表2客户典当登记!$E$4:$E$403&lt;&gt;"")*(COUNTIF($I$4:$I$503,表2客户典当登记!$E$4:$E$403)=0))</f>
        <v/>
      </c>
      <c r="M5" s="15" t="inlineStr">
        <is>
          <t>大于 0 说明表2里有新客户还没加进 I 列名单（查询表的下拉会找不到他）</t>
        </is>
      </c>
    </row>
    <row r="6">
      <c r="A6" s="12" t="inlineStr">
        <is>
          <t>个人典当</t>
        </is>
      </c>
      <c r="C6" s="12" t="inlineStr">
        <is>
          <t>车位</t>
        </is>
      </c>
      <c r="E6" s="12" t="inlineStr">
        <is>
          <t>结款未赎</t>
        </is>
      </c>
      <c r="G6" s="12" t="inlineStr">
        <is>
          <t>一次性</t>
        </is>
      </c>
      <c r="I6" s="13" t="inlineStr">
        <is>
          <t>何松</t>
        </is>
      </c>
      <c r="K6" s="12" t="n"/>
    </row>
    <row r="7">
      <c r="A7" s="12" t="n"/>
      <c r="C7" s="12" t="inlineStr">
        <is>
          <t>黄金</t>
        </is>
      </c>
      <c r="E7" s="12" t="inlineStr">
        <is>
          <t>赎当</t>
        </is>
      </c>
      <c r="G7" s="12" t="n"/>
      <c r="I7" s="13" t="inlineStr">
        <is>
          <t>刘万富</t>
        </is>
      </c>
      <c r="K7" s="12" t="n"/>
    </row>
    <row r="8">
      <c r="A8" s="12" t="n"/>
      <c r="C8" s="12" t="inlineStr">
        <is>
          <t>包包</t>
        </is>
      </c>
      <c r="E8" s="12" t="inlineStr">
        <is>
          <t>虚当</t>
        </is>
      </c>
      <c r="G8" s="12" t="n"/>
      <c r="I8" s="13" t="inlineStr">
        <is>
          <t>刘振祥</t>
        </is>
      </c>
    </row>
    <row r="9">
      <c r="A9" s="12" t="n"/>
      <c r="C9" s="12" t="inlineStr">
        <is>
          <t>手表</t>
        </is>
      </c>
      <c r="E9" s="12" t="inlineStr">
        <is>
          <t>起诉</t>
        </is>
      </c>
      <c r="G9" s="12" t="n"/>
      <c r="I9" s="13" t="inlineStr">
        <is>
          <t>刘署明</t>
        </is>
      </c>
    </row>
    <row r="10">
      <c r="A10" s="12" t="n"/>
      <c r="C10" s="12" t="inlineStr">
        <is>
          <t>名品</t>
        </is>
      </c>
      <c r="E10" s="12" t="inlineStr">
        <is>
          <t>起诉还款</t>
        </is>
      </c>
      <c r="G10" s="12" t="n"/>
      <c r="I10" s="13" t="inlineStr">
        <is>
          <t>叶守芳</t>
        </is>
      </c>
    </row>
    <row r="11">
      <c r="A11" s="12" t="n"/>
      <c r="C11" s="12" t="inlineStr">
        <is>
          <t>无抵押借款</t>
        </is>
      </c>
      <c r="E11" s="12" t="inlineStr">
        <is>
          <t>结款（个人）</t>
        </is>
      </c>
      <c r="G11" s="12" t="n"/>
      <c r="I11" s="13" t="inlineStr">
        <is>
          <t>叶敏</t>
        </is>
      </c>
    </row>
    <row r="12">
      <c r="A12" s="12" t="n"/>
      <c r="C12" s="12" t="inlineStr">
        <is>
          <t>钻戒</t>
        </is>
      </c>
      <c r="E12" s="12" t="inlineStr">
        <is>
          <t>逾期-未起诉</t>
        </is>
      </c>
      <c r="G12" s="12" t="n"/>
      <c r="I12" s="13" t="inlineStr">
        <is>
          <t>叶榕</t>
        </is>
      </c>
    </row>
    <row r="13">
      <c r="A13" s="12" t="n"/>
      <c r="C13" s="12" t="inlineStr">
        <is>
          <t>私人借款</t>
        </is>
      </c>
      <c r="E13" s="12" t="inlineStr">
        <is>
          <t>无法回款</t>
        </is>
      </c>
      <c r="G13" s="12" t="n"/>
      <c r="I13" s="13" t="inlineStr">
        <is>
          <t>叶金</t>
        </is>
      </c>
    </row>
    <row r="14">
      <c r="C14" s="12" t="inlineStr">
        <is>
          <t>法拍垫资</t>
        </is>
      </c>
      <c r="E14" s="12" t="inlineStr">
        <is>
          <t>绝当未处置</t>
        </is>
      </c>
      <c r="I14" s="13" t="inlineStr">
        <is>
          <t>叶银</t>
        </is>
      </c>
    </row>
    <row r="15">
      <c r="C15" s="12" t="inlineStr">
        <is>
          <t>手机</t>
        </is>
      </c>
      <c r="E15" s="12" t="n"/>
      <c r="I15" s="13" t="inlineStr">
        <is>
          <t>吴丽玲</t>
        </is>
      </c>
    </row>
    <row r="16">
      <c r="C16" s="12" t="inlineStr">
        <is>
          <t>解押/过桥</t>
        </is>
      </c>
      <c r="E16" s="12" t="n"/>
      <c r="I16" s="13" t="inlineStr">
        <is>
          <t>吴伟鸿</t>
        </is>
      </c>
    </row>
    <row r="17">
      <c r="C17" s="12" t="inlineStr">
        <is>
          <t>寿山石</t>
        </is>
      </c>
      <c r="E17" s="12" t="n"/>
      <c r="I17" s="13" t="inlineStr">
        <is>
          <t>吴吉翔</t>
        </is>
      </c>
    </row>
    <row r="18">
      <c r="C18" s="12" t="inlineStr">
        <is>
          <t>白金</t>
        </is>
      </c>
      <c r="E18" s="12" t="n"/>
      <c r="I18" s="13" t="inlineStr">
        <is>
          <t>吴彬</t>
        </is>
      </c>
    </row>
    <row r="19">
      <c r="C19" s="12" t="inlineStr">
        <is>
          <t>车贷-没押车</t>
        </is>
      </c>
      <c r="E19" s="12" t="n"/>
      <c r="I19" s="13" t="inlineStr">
        <is>
          <t>吴水明</t>
        </is>
      </c>
    </row>
    <row r="20">
      <c r="C20" s="12" t="inlineStr">
        <is>
          <t>黄金+钻戒</t>
        </is>
      </c>
      <c r="E20" s="12" t="n"/>
      <c r="I20" s="13" t="inlineStr">
        <is>
          <t>吴灵铭</t>
        </is>
      </c>
    </row>
    <row r="21">
      <c r="C21" s="12" t="inlineStr">
        <is>
          <t>玉佩</t>
        </is>
      </c>
      <c r="E21" s="12" t="n"/>
      <c r="I21" s="13" t="inlineStr">
        <is>
          <t>周晓斌</t>
        </is>
      </c>
    </row>
    <row r="22">
      <c r="C22" s="12" t="inlineStr">
        <is>
          <t>动产</t>
        </is>
      </c>
      <c r="E22" s="12" t="n"/>
      <c r="I22" s="13" t="inlineStr">
        <is>
          <t>唐俊俊</t>
        </is>
      </c>
    </row>
    <row r="23">
      <c r="C23" s="12" t="inlineStr">
        <is>
          <t>股票配资</t>
        </is>
      </c>
      <c r="E23" s="12" t="n"/>
      <c r="I23" s="13" t="inlineStr">
        <is>
          <t>夏薇薇</t>
        </is>
      </c>
    </row>
    <row r="24">
      <c r="C24" s="12" t="inlineStr">
        <is>
          <t>不动产</t>
        </is>
      </c>
      <c r="E24" s="12" t="n"/>
      <c r="I24" s="13" t="inlineStr">
        <is>
          <t>姚民威</t>
        </is>
      </c>
    </row>
    <row r="25">
      <c r="C25" s="12" t="n"/>
      <c r="E25" s="12" t="n"/>
      <c r="I25" s="13" t="inlineStr">
        <is>
          <t>姜玉枝</t>
        </is>
      </c>
    </row>
    <row r="26">
      <c r="C26" s="12" t="n"/>
      <c r="E26" s="12" t="n"/>
      <c r="I26" s="13" t="inlineStr">
        <is>
          <t>孙长健</t>
        </is>
      </c>
    </row>
    <row r="27">
      <c r="C27" s="12" t="n"/>
      <c r="E27" s="12" t="n"/>
      <c r="I27" s="13" t="inlineStr">
        <is>
          <t>宋磊华</t>
        </is>
      </c>
    </row>
    <row r="28">
      <c r="C28" s="12" t="n"/>
      <c r="E28" s="12" t="n"/>
      <c r="I28" s="13" t="inlineStr">
        <is>
          <t>常虹</t>
        </is>
      </c>
    </row>
    <row r="29">
      <c r="C29" s="12" t="n"/>
      <c r="E29" s="12" t="n"/>
      <c r="I29" s="13" t="inlineStr">
        <is>
          <t>廖浴波</t>
        </is>
      </c>
    </row>
    <row r="30">
      <c r="C30" s="12" t="n"/>
      <c r="E30" s="12" t="n"/>
      <c r="I30" s="13" t="inlineStr">
        <is>
          <t>张品洲</t>
        </is>
      </c>
    </row>
    <row r="31">
      <c r="C31" s="12" t="n"/>
      <c r="E31" s="12" t="n"/>
      <c r="I31" s="13" t="inlineStr">
        <is>
          <t>张天龙</t>
        </is>
      </c>
    </row>
    <row r="32">
      <c r="C32" s="12" t="n"/>
      <c r="E32" s="12" t="n"/>
      <c r="I32" s="13" t="inlineStr">
        <is>
          <t>张妍</t>
        </is>
      </c>
    </row>
    <row r="33">
      <c r="C33" s="12" t="n"/>
      <c r="E33" s="12" t="n"/>
      <c r="I33" s="13" t="inlineStr">
        <is>
          <t>张帆</t>
        </is>
      </c>
    </row>
    <row r="34">
      <c r="C34" s="12" t="n"/>
      <c r="I34" s="13" t="inlineStr">
        <is>
          <t>张建云</t>
        </is>
      </c>
    </row>
    <row r="35">
      <c r="C35" s="12" t="n"/>
      <c r="I35" s="13" t="inlineStr">
        <is>
          <t>张黎晖</t>
        </is>
      </c>
    </row>
    <row r="36">
      <c r="C36" s="12" t="n"/>
      <c r="I36" s="13" t="inlineStr">
        <is>
          <t>徐昊昱</t>
        </is>
      </c>
    </row>
    <row r="37">
      <c r="C37" s="12" t="n"/>
      <c r="I37" s="13" t="inlineStr">
        <is>
          <t>念武</t>
        </is>
      </c>
    </row>
    <row r="38">
      <c r="C38" s="12" t="n"/>
      <c r="I38" s="13" t="inlineStr">
        <is>
          <t>方士雯</t>
        </is>
      </c>
    </row>
    <row r="39">
      <c r="C39" s="12" t="n"/>
      <c r="I39" s="13" t="inlineStr">
        <is>
          <t>方楚钰</t>
        </is>
      </c>
    </row>
    <row r="40">
      <c r="C40" s="12" t="n"/>
      <c r="I40" s="13" t="inlineStr">
        <is>
          <t>施鉴波</t>
        </is>
      </c>
    </row>
    <row r="41">
      <c r="C41" s="12" t="n"/>
      <c r="I41" s="13" t="inlineStr">
        <is>
          <t>曹玉洁</t>
        </is>
      </c>
    </row>
    <row r="42">
      <c r="C42" s="12" t="n"/>
      <c r="I42" s="13" t="inlineStr">
        <is>
          <t>曾云</t>
        </is>
      </c>
    </row>
    <row r="43">
      <c r="C43" s="12" t="n"/>
      <c r="I43" s="13" t="inlineStr">
        <is>
          <t>曾光雄</t>
        </is>
      </c>
    </row>
    <row r="44">
      <c r="I44" s="13" t="inlineStr">
        <is>
          <t>朱俊良</t>
        </is>
      </c>
    </row>
    <row r="45">
      <c r="I45" s="13" t="inlineStr">
        <is>
          <t>朱颜</t>
        </is>
      </c>
    </row>
    <row r="46">
      <c r="I46" s="13" t="inlineStr">
        <is>
          <t>李佳敏</t>
        </is>
      </c>
    </row>
    <row r="47">
      <c r="I47" s="13" t="inlineStr">
        <is>
          <t>李元</t>
        </is>
      </c>
    </row>
    <row r="48">
      <c r="I48" s="13" t="inlineStr">
        <is>
          <t>李北茉</t>
        </is>
      </c>
    </row>
    <row r="49">
      <c r="I49" s="13" t="inlineStr">
        <is>
          <t>李忠浩</t>
        </is>
      </c>
    </row>
    <row r="50">
      <c r="I50" s="13" t="inlineStr">
        <is>
          <t>杜若</t>
        </is>
      </c>
    </row>
    <row r="51">
      <c r="I51" s="13" t="inlineStr">
        <is>
          <t>杨惠慧（徐波）</t>
        </is>
      </c>
    </row>
    <row r="52">
      <c r="I52" s="13" t="inlineStr">
        <is>
          <t>杨眉/陈雨荷</t>
        </is>
      </c>
    </row>
    <row r="53">
      <c r="I53" s="13" t="inlineStr">
        <is>
          <t>杨繁</t>
        </is>
      </c>
    </row>
    <row r="54">
      <c r="I54" s="13" t="inlineStr">
        <is>
          <t>林俊行</t>
        </is>
      </c>
    </row>
    <row r="55">
      <c r="I55" s="13" t="inlineStr">
        <is>
          <t>林凯鑫</t>
        </is>
      </c>
    </row>
    <row r="56">
      <c r="I56" s="13" t="inlineStr">
        <is>
          <t>林剑凡</t>
        </is>
      </c>
    </row>
    <row r="57">
      <c r="I57" s="13" t="inlineStr">
        <is>
          <t>林华</t>
        </is>
      </c>
    </row>
    <row r="58">
      <c r="I58" s="13" t="inlineStr">
        <is>
          <t>林总账户</t>
        </is>
      </c>
    </row>
    <row r="59">
      <c r="I59" s="13" t="inlineStr">
        <is>
          <t>林惠明</t>
        </is>
      </c>
    </row>
    <row r="60">
      <c r="I60" s="13" t="inlineStr">
        <is>
          <t>林文福</t>
        </is>
      </c>
    </row>
    <row r="61">
      <c r="I61" s="13" t="inlineStr">
        <is>
          <t>林文维</t>
        </is>
      </c>
    </row>
    <row r="62">
      <c r="I62" s="13" t="inlineStr">
        <is>
          <t>林斌</t>
        </is>
      </c>
    </row>
    <row r="63">
      <c r="I63" s="13" t="inlineStr">
        <is>
          <t>林昌耿</t>
        </is>
      </c>
    </row>
    <row r="64">
      <c r="I64" s="13" t="inlineStr">
        <is>
          <t>林晓霞</t>
        </is>
      </c>
    </row>
    <row r="65">
      <c r="I65" s="13" t="inlineStr">
        <is>
          <t>林浩</t>
        </is>
      </c>
    </row>
    <row r="66">
      <c r="I66" s="13" t="inlineStr">
        <is>
          <t>林燕</t>
        </is>
      </c>
    </row>
    <row r="67">
      <c r="I67" s="13" t="inlineStr">
        <is>
          <t>林瑞腾</t>
        </is>
      </c>
    </row>
    <row r="68">
      <c r="I68" s="13" t="inlineStr">
        <is>
          <t>林芬</t>
        </is>
      </c>
    </row>
    <row r="69">
      <c r="I69" s="13" t="inlineStr">
        <is>
          <t>林鹏</t>
        </is>
      </c>
    </row>
    <row r="70">
      <c r="I70" s="13" t="inlineStr">
        <is>
          <t>柯志宏</t>
        </is>
      </c>
    </row>
    <row r="71">
      <c r="I71" s="13" t="inlineStr">
        <is>
          <t>柯重文</t>
        </is>
      </c>
    </row>
    <row r="72">
      <c r="I72" s="13" t="inlineStr">
        <is>
          <t>池鸿</t>
        </is>
      </c>
    </row>
    <row r="73">
      <c r="I73" s="13" t="inlineStr">
        <is>
          <t>汤丽娇</t>
        </is>
      </c>
    </row>
    <row r="74">
      <c r="I74" s="13" t="inlineStr">
        <is>
          <t>汤静</t>
        </is>
      </c>
    </row>
    <row r="75">
      <c r="I75" s="13" t="inlineStr">
        <is>
          <t>汪琼宇</t>
        </is>
      </c>
    </row>
    <row r="76">
      <c r="I76" s="13" t="inlineStr">
        <is>
          <t>涂志高</t>
        </is>
      </c>
    </row>
    <row r="77">
      <c r="I77" s="13" t="inlineStr">
        <is>
          <t>游金铭</t>
        </is>
      </c>
    </row>
    <row r="78">
      <c r="I78" s="13" t="inlineStr">
        <is>
          <t>潘淑萍</t>
        </is>
      </c>
    </row>
    <row r="79">
      <c r="I79" s="13" t="inlineStr">
        <is>
          <t>潘立文</t>
        </is>
      </c>
    </row>
    <row r="80">
      <c r="I80" s="13" t="inlineStr">
        <is>
          <t>王东璘</t>
        </is>
      </c>
    </row>
    <row r="81">
      <c r="I81" s="13" t="inlineStr">
        <is>
          <t>王娟</t>
        </is>
      </c>
    </row>
    <row r="82">
      <c r="I82" s="13" t="inlineStr">
        <is>
          <t>王建南</t>
        </is>
      </c>
    </row>
    <row r="83">
      <c r="I83" s="13" t="inlineStr">
        <is>
          <t>王斌</t>
        </is>
      </c>
    </row>
    <row r="84">
      <c r="I84" s="13" t="inlineStr">
        <is>
          <t>王晓红</t>
        </is>
      </c>
    </row>
    <row r="85">
      <c r="I85" s="13" t="inlineStr">
        <is>
          <t>王晶琰</t>
        </is>
      </c>
    </row>
    <row r="86">
      <c r="I86" s="13" t="inlineStr">
        <is>
          <t>王楠鑫</t>
        </is>
      </c>
    </row>
    <row r="87">
      <c r="I87" s="13" t="inlineStr">
        <is>
          <t>王毅</t>
        </is>
      </c>
    </row>
    <row r="88">
      <c r="I88" s="13" t="inlineStr">
        <is>
          <t>王海龙</t>
        </is>
      </c>
    </row>
    <row r="89">
      <c r="I89" s="13" t="inlineStr">
        <is>
          <t>王鹭杭</t>
        </is>
      </c>
    </row>
    <row r="90">
      <c r="I90" s="13" t="inlineStr">
        <is>
          <t>秦国发</t>
        </is>
      </c>
    </row>
    <row r="91">
      <c r="I91" s="13" t="inlineStr">
        <is>
          <t>章俊</t>
        </is>
      </c>
    </row>
    <row r="92">
      <c r="I92" s="13" t="inlineStr">
        <is>
          <t>纪文瑞</t>
        </is>
      </c>
    </row>
    <row r="93">
      <c r="I93" s="13" t="inlineStr">
        <is>
          <t>纪昌杰</t>
        </is>
      </c>
    </row>
    <row r="94">
      <c r="I94" s="13" t="inlineStr">
        <is>
          <t>罗如彬</t>
        </is>
      </c>
    </row>
    <row r="95">
      <c r="I95" s="13" t="inlineStr">
        <is>
          <t>罗淑珍</t>
        </is>
      </c>
    </row>
    <row r="96">
      <c r="I96" s="13" t="inlineStr">
        <is>
          <t>翁嘉明</t>
        </is>
      </c>
    </row>
    <row r="97">
      <c r="I97" s="13" t="inlineStr">
        <is>
          <t>胡建通</t>
        </is>
      </c>
    </row>
    <row r="98">
      <c r="I98" s="13" t="inlineStr">
        <is>
          <t>董智宇</t>
        </is>
      </c>
    </row>
    <row r="99">
      <c r="I99" s="13" t="inlineStr">
        <is>
          <t>蒋淋淋</t>
        </is>
      </c>
    </row>
    <row r="100">
      <c r="I100" s="13" t="inlineStr">
        <is>
          <t>蒙媛媛</t>
        </is>
      </c>
    </row>
    <row r="101">
      <c r="I101" s="13" t="inlineStr">
        <is>
          <t>谢恩正</t>
        </is>
      </c>
    </row>
    <row r="102">
      <c r="I102" s="13" t="inlineStr">
        <is>
          <t>赵彤欣</t>
        </is>
      </c>
    </row>
    <row r="103">
      <c r="I103" s="13" t="inlineStr">
        <is>
          <t>邹振辉</t>
        </is>
      </c>
    </row>
    <row r="104">
      <c r="I104" s="13" t="inlineStr">
        <is>
          <t>郑万楼</t>
        </is>
      </c>
    </row>
    <row r="105">
      <c r="I105" s="13" t="inlineStr">
        <is>
          <t>郑丽清</t>
        </is>
      </c>
    </row>
    <row r="106">
      <c r="I106" s="13" t="inlineStr">
        <is>
          <t>郑伟健</t>
        </is>
      </c>
    </row>
    <row r="107">
      <c r="I107" s="13" t="inlineStr">
        <is>
          <t>郑大可</t>
        </is>
      </c>
    </row>
    <row r="108">
      <c r="I108" s="13" t="inlineStr">
        <is>
          <t>郑庆民</t>
        </is>
      </c>
    </row>
    <row r="109">
      <c r="I109" s="13" t="inlineStr">
        <is>
          <t>郑怡</t>
        </is>
      </c>
    </row>
    <row r="110">
      <c r="I110" s="13" t="inlineStr">
        <is>
          <t>郑永贵</t>
        </is>
      </c>
    </row>
    <row r="111">
      <c r="I111" s="13" t="inlineStr">
        <is>
          <t>郑永键</t>
        </is>
      </c>
    </row>
    <row r="112">
      <c r="I112" s="13" t="inlineStr">
        <is>
          <t>郑祥波</t>
        </is>
      </c>
    </row>
    <row r="113">
      <c r="I113" s="13" t="inlineStr">
        <is>
          <t>郭联兵</t>
        </is>
      </c>
    </row>
    <row r="114">
      <c r="I114" s="13" t="inlineStr">
        <is>
          <t>钟红秀</t>
        </is>
      </c>
    </row>
    <row r="115">
      <c r="I115" s="13" t="inlineStr">
        <is>
          <t>钱蔚宏</t>
        </is>
      </c>
    </row>
    <row r="116">
      <c r="I116" s="13" t="inlineStr">
        <is>
          <t>陆林广</t>
        </is>
      </c>
    </row>
    <row r="117">
      <c r="I117" s="13" t="inlineStr">
        <is>
          <t>陈东</t>
        </is>
      </c>
    </row>
    <row r="118">
      <c r="I118" s="13" t="inlineStr">
        <is>
          <t>陈乐贵</t>
        </is>
      </c>
    </row>
    <row r="119">
      <c r="I119" s="13" t="inlineStr">
        <is>
          <t>陈勇</t>
        </is>
      </c>
    </row>
    <row r="120">
      <c r="I120" s="13" t="inlineStr">
        <is>
          <t>陈大鑫</t>
        </is>
      </c>
    </row>
    <row r="121">
      <c r="I121" s="13" t="inlineStr">
        <is>
          <t>陈庆生</t>
        </is>
      </c>
    </row>
    <row r="122">
      <c r="I122" s="13" t="inlineStr">
        <is>
          <t>陈建华</t>
        </is>
      </c>
    </row>
    <row r="123">
      <c r="I123" s="13" t="inlineStr">
        <is>
          <t>陈征</t>
        </is>
      </c>
    </row>
    <row r="124">
      <c r="I124" s="13" t="inlineStr">
        <is>
          <t>陈忠军</t>
        </is>
      </c>
    </row>
    <row r="125">
      <c r="I125" s="13" t="inlineStr">
        <is>
          <t>陈承辉</t>
        </is>
      </c>
    </row>
    <row r="126">
      <c r="I126" s="13" t="inlineStr">
        <is>
          <t>陈敏峰</t>
        </is>
      </c>
    </row>
    <row r="127">
      <c r="I127" s="13" t="inlineStr">
        <is>
          <t>陈景昭</t>
        </is>
      </c>
    </row>
    <row r="128">
      <c r="I128" s="13" t="inlineStr">
        <is>
          <t>陈福荣</t>
        </is>
      </c>
    </row>
    <row r="129">
      <c r="I129" s="13" t="inlineStr">
        <is>
          <t>陈秋龙</t>
        </is>
      </c>
    </row>
    <row r="130">
      <c r="I130" s="13" t="inlineStr">
        <is>
          <t>陈立</t>
        </is>
      </c>
    </row>
    <row r="131">
      <c r="I131" s="13" t="inlineStr">
        <is>
          <t>陈跃飞</t>
        </is>
      </c>
    </row>
    <row r="132">
      <c r="I132" s="13" t="inlineStr">
        <is>
          <t>陈锦珍</t>
        </is>
      </c>
    </row>
    <row r="133">
      <c r="I133" s="13" t="inlineStr">
        <is>
          <t>陈隆鑫</t>
        </is>
      </c>
    </row>
    <row r="134">
      <c r="I134" s="13" t="inlineStr">
        <is>
          <t>马昱</t>
        </is>
      </c>
    </row>
    <row r="135">
      <c r="I135" s="13" t="inlineStr">
        <is>
          <t>高文玉</t>
        </is>
      </c>
    </row>
    <row r="136">
      <c r="I136" s="13" t="inlineStr">
        <is>
          <t>魏成龙</t>
        </is>
      </c>
    </row>
    <row r="137">
      <c r="I137" s="13" t="inlineStr">
        <is>
          <t>魏文冬</t>
        </is>
      </c>
    </row>
    <row r="138">
      <c r="I138" s="13" t="inlineStr">
        <is>
          <t>魏洁</t>
        </is>
      </c>
    </row>
    <row r="139">
      <c r="I139" s="13" t="inlineStr">
        <is>
          <t>黄军</t>
        </is>
      </c>
    </row>
    <row r="140">
      <c r="I140" s="13" t="inlineStr">
        <is>
          <t>黄发锦</t>
        </is>
      </c>
    </row>
    <row r="141">
      <c r="I141" s="13" t="inlineStr">
        <is>
          <t>黄平香</t>
        </is>
      </c>
    </row>
    <row r="142">
      <c r="I142" s="13" t="inlineStr">
        <is>
          <t>黄远枝</t>
        </is>
      </c>
    </row>
    <row r="143">
      <c r="I143" s="13" t="inlineStr">
        <is>
          <t>黄长燕</t>
        </is>
      </c>
    </row>
    <row r="144">
      <c r="I144" s="13" t="inlineStr">
        <is>
          <t>黄飞</t>
        </is>
      </c>
    </row>
    <row r="145">
      <c r="I145" s="13" t="n"/>
    </row>
    <row r="146">
      <c r="I146" s="13" t="n"/>
    </row>
    <row r="147">
      <c r="I147" s="13" t="n"/>
    </row>
    <row r="148">
      <c r="I148" s="13" t="n"/>
    </row>
    <row r="149">
      <c r="I149" s="13" t="n"/>
    </row>
    <row r="150">
      <c r="I150" s="13" t="n"/>
    </row>
    <row r="151">
      <c r="I151" s="13" t="n"/>
    </row>
    <row r="152">
      <c r="I152" s="13" t="n"/>
    </row>
    <row r="153">
      <c r="I153" s="13" t="n"/>
    </row>
    <row r="154">
      <c r="I154" s="13" t="n"/>
    </row>
    <row r="155">
      <c r="I155" s="13" t="n"/>
    </row>
    <row r="156">
      <c r="I156" s="13" t="n"/>
    </row>
    <row r="157">
      <c r="I157" s="13" t="n"/>
    </row>
    <row r="158">
      <c r="I158" s="13" t="n"/>
    </row>
    <row r="159">
      <c r="I159" s="13" t="n"/>
    </row>
    <row r="160">
      <c r="I160" s="13" t="n"/>
    </row>
    <row r="161">
      <c r="I161" s="13" t="n"/>
    </row>
    <row r="162">
      <c r="I162" s="13" t="n"/>
    </row>
    <row r="163">
      <c r="I163" s="13" t="n"/>
    </row>
    <row r="164">
      <c r="I164" s="13" t="n"/>
    </row>
    <row r="165">
      <c r="I165" s="13" t="n"/>
    </row>
    <row r="166">
      <c r="I166" s="13" t="n"/>
    </row>
    <row r="167">
      <c r="I167" s="13" t="n"/>
    </row>
    <row r="168">
      <c r="I168" s="13" t="n"/>
    </row>
    <row r="169">
      <c r="I169" s="13" t="n"/>
    </row>
    <row r="170">
      <c r="I170" s="13" t="n"/>
    </row>
    <row r="171">
      <c r="I171" s="13" t="n"/>
    </row>
    <row r="172">
      <c r="I172" s="13" t="n"/>
    </row>
    <row r="173">
      <c r="I173" s="13" t="n"/>
    </row>
    <row r="174">
      <c r="I174" s="13" t="n"/>
    </row>
    <row r="175">
      <c r="I175" s="13" t="n"/>
    </row>
    <row r="176">
      <c r="I176" s="13" t="n"/>
    </row>
    <row r="177">
      <c r="I177" s="13" t="n"/>
    </row>
    <row r="178">
      <c r="I178" s="13" t="n"/>
    </row>
    <row r="179">
      <c r="I179" s="13" t="n"/>
    </row>
    <row r="180">
      <c r="I180" s="13" t="n"/>
    </row>
    <row r="181">
      <c r="I181" s="13" t="n"/>
    </row>
    <row r="182">
      <c r="I182" s="13" t="n"/>
    </row>
    <row r="183">
      <c r="I183" s="13" t="n"/>
    </row>
    <row r="184">
      <c r="I184" s="13" t="n"/>
    </row>
    <row r="185">
      <c r="I185" s="13" t="n"/>
    </row>
    <row r="186">
      <c r="I186" s="13" t="n"/>
    </row>
    <row r="187">
      <c r="I187" s="13" t="n"/>
    </row>
    <row r="188">
      <c r="I188" s="13" t="n"/>
    </row>
    <row r="189">
      <c r="I189" s="13" t="n"/>
    </row>
    <row r="190">
      <c r="I190" s="13" t="n"/>
    </row>
    <row r="191">
      <c r="I191" s="13" t="n"/>
    </row>
    <row r="192">
      <c r="I192" s="13" t="n"/>
    </row>
    <row r="193">
      <c r="I193" s="13" t="n"/>
    </row>
    <row r="194">
      <c r="I194" s="13" t="n"/>
    </row>
    <row r="195">
      <c r="I195" s="13" t="n"/>
    </row>
    <row r="196">
      <c r="I196" s="13" t="n"/>
    </row>
    <row r="197">
      <c r="I197" s="13" t="n"/>
    </row>
    <row r="198">
      <c r="I198" s="13" t="n"/>
    </row>
    <row r="199">
      <c r="I199" s="13" t="n"/>
    </row>
    <row r="200">
      <c r="I200" s="13" t="n"/>
    </row>
    <row r="201">
      <c r="I201" s="13" t="n"/>
    </row>
    <row r="202">
      <c r="I202" s="13" t="n"/>
    </row>
    <row r="203">
      <c r="I203" s="13" t="n"/>
    </row>
    <row r="204">
      <c r="I204" s="13" t="n"/>
    </row>
    <row r="205">
      <c r="I205" s="13" t="n"/>
    </row>
    <row r="206">
      <c r="I206" s="13" t="n"/>
    </row>
    <row r="207">
      <c r="I207" s="13" t="n"/>
    </row>
    <row r="208">
      <c r="I208" s="13" t="n"/>
    </row>
    <row r="209">
      <c r="I209" s="13" t="n"/>
    </row>
    <row r="210">
      <c r="I210" s="13" t="n"/>
    </row>
    <row r="211">
      <c r="I211" s="13" t="n"/>
    </row>
    <row r="212">
      <c r="I212" s="13" t="n"/>
    </row>
    <row r="213">
      <c r="I213" s="13" t="n"/>
    </row>
    <row r="214">
      <c r="I214" s="13" t="n"/>
    </row>
    <row r="215">
      <c r="I215" s="13" t="n"/>
    </row>
    <row r="216">
      <c r="I216" s="13" t="n"/>
    </row>
    <row r="217">
      <c r="I217" s="13" t="n"/>
    </row>
    <row r="218">
      <c r="I218" s="13" t="n"/>
    </row>
    <row r="219">
      <c r="I219" s="13" t="n"/>
    </row>
    <row r="220">
      <c r="I220" s="13" t="n"/>
    </row>
    <row r="221">
      <c r="I221" s="13" t="n"/>
    </row>
    <row r="222">
      <c r="I222" s="13" t="n"/>
    </row>
    <row r="223">
      <c r="I223" s="13" t="n"/>
    </row>
    <row r="224">
      <c r="I224" s="13" t="n"/>
    </row>
    <row r="225">
      <c r="I225" s="13" t="n"/>
    </row>
    <row r="226">
      <c r="I226" s="13" t="n"/>
    </row>
    <row r="227">
      <c r="I227" s="13" t="n"/>
    </row>
    <row r="228">
      <c r="I228" s="13" t="n"/>
    </row>
    <row r="229">
      <c r="I229" s="13" t="n"/>
    </row>
    <row r="230">
      <c r="I230" s="13" t="n"/>
    </row>
    <row r="231">
      <c r="I231" s="13" t="n"/>
    </row>
    <row r="232">
      <c r="I232" s="13" t="n"/>
    </row>
    <row r="233">
      <c r="I233" s="13" t="n"/>
    </row>
    <row r="234">
      <c r="I234" s="13" t="n"/>
    </row>
    <row r="235">
      <c r="I235" s="13" t="n"/>
    </row>
    <row r="236">
      <c r="I236" s="13" t="n"/>
    </row>
    <row r="237">
      <c r="I237" s="13" t="n"/>
    </row>
    <row r="238">
      <c r="I238" s="13" t="n"/>
    </row>
    <row r="239">
      <c r="I239" s="13" t="n"/>
    </row>
    <row r="240">
      <c r="I240" s="13" t="n"/>
    </row>
    <row r="241">
      <c r="I241" s="13" t="n"/>
    </row>
    <row r="242">
      <c r="I242" s="13" t="n"/>
    </row>
    <row r="243">
      <c r="I243" s="13" t="n"/>
    </row>
    <row r="244">
      <c r="I244" s="13" t="n"/>
    </row>
    <row r="245">
      <c r="I245" s="13" t="n"/>
    </row>
    <row r="246">
      <c r="I246" s="13" t="n"/>
    </row>
    <row r="247">
      <c r="I247" s="13" t="n"/>
    </row>
    <row r="248">
      <c r="I248" s="13" t="n"/>
    </row>
    <row r="249">
      <c r="I249" s="13" t="n"/>
    </row>
    <row r="250">
      <c r="I250" s="13" t="n"/>
    </row>
    <row r="251">
      <c r="I251" s="13" t="n"/>
    </row>
    <row r="252">
      <c r="I252" s="13" t="n"/>
    </row>
    <row r="253">
      <c r="I253" s="13" t="n"/>
    </row>
    <row r="254">
      <c r="I254" s="13" t="n"/>
    </row>
    <row r="255">
      <c r="I255" s="13" t="n"/>
    </row>
    <row r="256">
      <c r="I256" s="13" t="n"/>
    </row>
    <row r="257">
      <c r="I257" s="13" t="n"/>
    </row>
    <row r="258">
      <c r="I258" s="13" t="n"/>
    </row>
    <row r="259">
      <c r="I259" s="13" t="n"/>
    </row>
    <row r="260">
      <c r="I260" s="13" t="n"/>
    </row>
    <row r="261">
      <c r="I261" s="13" t="n"/>
    </row>
    <row r="262">
      <c r="I262" s="13" t="n"/>
    </row>
    <row r="263">
      <c r="I263" s="13" t="n"/>
    </row>
    <row r="264">
      <c r="I264" s="13" t="n"/>
    </row>
    <row r="265">
      <c r="I265" s="13" t="n"/>
    </row>
    <row r="266">
      <c r="I266" s="13" t="n"/>
    </row>
    <row r="267">
      <c r="I267" s="13" t="n"/>
    </row>
    <row r="268">
      <c r="I268" s="13" t="n"/>
    </row>
    <row r="269">
      <c r="I269" s="13" t="n"/>
    </row>
    <row r="270">
      <c r="I270" s="13" t="n"/>
    </row>
    <row r="271">
      <c r="I271" s="13" t="n"/>
    </row>
    <row r="272">
      <c r="I272" s="13" t="n"/>
    </row>
    <row r="273">
      <c r="I273" s="13" t="n"/>
    </row>
    <row r="274">
      <c r="I274" s="13" t="n"/>
    </row>
    <row r="275">
      <c r="I275" s="13" t="n"/>
    </row>
    <row r="276">
      <c r="I276" s="13" t="n"/>
    </row>
    <row r="277">
      <c r="I277" s="13" t="n"/>
    </row>
    <row r="278">
      <c r="I278" s="13" t="n"/>
    </row>
    <row r="279">
      <c r="I279" s="13" t="n"/>
    </row>
    <row r="280">
      <c r="I280" s="13" t="n"/>
    </row>
    <row r="281">
      <c r="I281" s="13" t="n"/>
    </row>
    <row r="282">
      <c r="I282" s="13" t="n"/>
    </row>
    <row r="283">
      <c r="I283" s="13" t="n"/>
    </row>
    <row r="284">
      <c r="I284" s="13" t="n"/>
    </row>
    <row r="285">
      <c r="I285" s="13" t="n"/>
    </row>
    <row r="286">
      <c r="I286" s="13" t="n"/>
    </row>
    <row r="287">
      <c r="I287" s="13" t="n"/>
    </row>
    <row r="288">
      <c r="I288" s="13" t="n"/>
    </row>
    <row r="289">
      <c r="I289" s="13" t="n"/>
    </row>
    <row r="290">
      <c r="I290" s="13" t="n"/>
    </row>
    <row r="291">
      <c r="I291" s="13" t="n"/>
    </row>
    <row r="292">
      <c r="I292" s="13" t="n"/>
    </row>
    <row r="293">
      <c r="I293" s="13" t="n"/>
    </row>
    <row r="294">
      <c r="I294" s="13" t="n"/>
    </row>
    <row r="295">
      <c r="I295" s="13" t="n"/>
    </row>
    <row r="296">
      <c r="I296" s="13" t="n"/>
    </row>
    <row r="297">
      <c r="I297" s="13" t="n"/>
    </row>
    <row r="298">
      <c r="I298" s="13" t="n"/>
    </row>
    <row r="299">
      <c r="I299" s="13" t="n"/>
    </row>
    <row r="300">
      <c r="I300" s="13" t="n"/>
    </row>
    <row r="301">
      <c r="I301" s="13" t="n"/>
    </row>
    <row r="302">
      <c r="I302" s="13" t="n"/>
    </row>
    <row r="303">
      <c r="I303" s="13" t="n"/>
    </row>
    <row r="304">
      <c r="I304" s="13" t="n"/>
    </row>
    <row r="305">
      <c r="I305" s="13" t="n"/>
    </row>
    <row r="306">
      <c r="I306" s="13" t="n"/>
    </row>
    <row r="307">
      <c r="I307" s="13" t="n"/>
    </row>
    <row r="308">
      <c r="I308" s="13" t="n"/>
    </row>
    <row r="309">
      <c r="I309" s="13" t="n"/>
    </row>
    <row r="310">
      <c r="I310" s="13" t="n"/>
    </row>
    <row r="311">
      <c r="I311" s="13" t="n"/>
    </row>
    <row r="312">
      <c r="I312" s="13" t="n"/>
    </row>
    <row r="313">
      <c r="I313" s="13" t="n"/>
    </row>
    <row r="314">
      <c r="I314" s="13" t="n"/>
    </row>
    <row r="315">
      <c r="I315" s="13" t="n"/>
    </row>
    <row r="316">
      <c r="I316" s="13" t="n"/>
    </row>
    <row r="317">
      <c r="I317" s="13" t="n"/>
    </row>
    <row r="318">
      <c r="I318" s="13" t="n"/>
    </row>
    <row r="319">
      <c r="I319" s="13" t="n"/>
    </row>
    <row r="320">
      <c r="I320" s="13" t="n"/>
    </row>
    <row r="321">
      <c r="I321" s="13" t="n"/>
    </row>
    <row r="322">
      <c r="I322" s="13" t="n"/>
    </row>
    <row r="323">
      <c r="I323" s="13" t="n"/>
    </row>
    <row r="324">
      <c r="I324" s="13" t="n"/>
    </row>
    <row r="325">
      <c r="I325" s="13" t="n"/>
    </row>
    <row r="326">
      <c r="I326" s="13" t="n"/>
    </row>
    <row r="327">
      <c r="I327" s="13" t="n"/>
    </row>
    <row r="328">
      <c r="I328" s="13" t="n"/>
    </row>
    <row r="329">
      <c r="I329" s="13" t="n"/>
    </row>
    <row r="330">
      <c r="I330" s="13" t="n"/>
    </row>
    <row r="331">
      <c r="I331" s="13" t="n"/>
    </row>
    <row r="332">
      <c r="I332" s="13" t="n"/>
    </row>
    <row r="333">
      <c r="I333" s="13" t="n"/>
    </row>
    <row r="334">
      <c r="I334" s="13" t="n"/>
    </row>
    <row r="335">
      <c r="I335" s="13" t="n"/>
    </row>
    <row r="336">
      <c r="I336" s="13" t="n"/>
    </row>
    <row r="337">
      <c r="I337" s="13" t="n"/>
    </row>
    <row r="338">
      <c r="I338" s="13" t="n"/>
    </row>
    <row r="339">
      <c r="I339" s="13" t="n"/>
    </row>
    <row r="340">
      <c r="I340" s="13" t="n"/>
    </row>
    <row r="341">
      <c r="I341" s="13" t="n"/>
    </row>
    <row r="342">
      <c r="I342" s="13" t="n"/>
    </row>
    <row r="343">
      <c r="I343" s="13" t="n"/>
    </row>
    <row r="344">
      <c r="I344" s="13" t="n"/>
    </row>
    <row r="345">
      <c r="I345" s="13" t="n"/>
    </row>
    <row r="346">
      <c r="I346" s="13" t="n"/>
    </row>
    <row r="347">
      <c r="I347" s="13" t="n"/>
    </row>
    <row r="348">
      <c r="I348" s="13" t="n"/>
    </row>
    <row r="349">
      <c r="I349" s="13" t="n"/>
    </row>
    <row r="350">
      <c r="I350" s="13" t="n"/>
    </row>
    <row r="351">
      <c r="I351" s="13" t="n"/>
    </row>
    <row r="352">
      <c r="I352" s="13" t="n"/>
    </row>
    <row r="353">
      <c r="I353" s="13" t="n"/>
    </row>
    <row r="354">
      <c r="I354" s="13" t="n"/>
    </row>
    <row r="355">
      <c r="I355" s="13" t="n"/>
    </row>
    <row r="356">
      <c r="I356" s="13" t="n"/>
    </row>
    <row r="357">
      <c r="I357" s="13" t="n"/>
    </row>
    <row r="358">
      <c r="I358" s="13" t="n"/>
    </row>
    <row r="359">
      <c r="I359" s="13" t="n"/>
    </row>
    <row r="360">
      <c r="I360" s="13" t="n"/>
    </row>
    <row r="361">
      <c r="I361" s="13" t="n"/>
    </row>
    <row r="362">
      <c r="I362" s="13" t="n"/>
    </row>
    <row r="363">
      <c r="I363" s="13" t="n"/>
    </row>
    <row r="364">
      <c r="I364" s="13" t="n"/>
    </row>
    <row r="365">
      <c r="I365" s="13" t="n"/>
    </row>
    <row r="366">
      <c r="I366" s="13" t="n"/>
    </row>
    <row r="367">
      <c r="I367" s="13" t="n"/>
    </row>
    <row r="368">
      <c r="I368" s="13" t="n"/>
    </row>
    <row r="369">
      <c r="I369" s="13" t="n"/>
    </row>
    <row r="370">
      <c r="I370" s="13" t="n"/>
    </row>
    <row r="371">
      <c r="I371" s="13" t="n"/>
    </row>
    <row r="372">
      <c r="I372" s="13" t="n"/>
    </row>
    <row r="373">
      <c r="I373" s="13" t="n"/>
    </row>
    <row r="374">
      <c r="I374" s="13" t="n"/>
    </row>
    <row r="375">
      <c r="I375" s="13" t="n"/>
    </row>
    <row r="376">
      <c r="I376" s="13" t="n"/>
    </row>
    <row r="377">
      <c r="I377" s="13" t="n"/>
    </row>
    <row r="378">
      <c r="I378" s="13" t="n"/>
    </row>
    <row r="379">
      <c r="I379" s="13" t="n"/>
    </row>
    <row r="380">
      <c r="I380" s="13" t="n"/>
    </row>
    <row r="381">
      <c r="I381" s="13" t="n"/>
    </row>
    <row r="382">
      <c r="I382" s="13" t="n"/>
    </row>
    <row r="383">
      <c r="I383" s="13" t="n"/>
    </row>
    <row r="384">
      <c r="I384" s="13" t="n"/>
    </row>
    <row r="385">
      <c r="I385" s="13" t="n"/>
    </row>
    <row r="386">
      <c r="I386" s="13" t="n"/>
    </row>
    <row r="387">
      <c r="I387" s="13" t="n"/>
    </row>
    <row r="388">
      <c r="I388" s="13" t="n"/>
    </row>
    <row r="389">
      <c r="I389" s="13" t="n"/>
    </row>
    <row r="390">
      <c r="I390" s="13" t="n"/>
    </row>
    <row r="391">
      <c r="I391" s="13" t="n"/>
    </row>
    <row r="392">
      <c r="I392" s="13" t="n"/>
    </row>
    <row r="393">
      <c r="I393" s="13" t="n"/>
    </row>
    <row r="394">
      <c r="I394" s="13" t="n"/>
    </row>
    <row r="395">
      <c r="I395" s="13" t="n"/>
    </row>
    <row r="396">
      <c r="I396" s="13" t="n"/>
    </row>
    <row r="397">
      <c r="I397" s="13" t="n"/>
    </row>
    <row r="398">
      <c r="I398" s="13" t="n"/>
    </row>
    <row r="399">
      <c r="I399" s="13" t="n"/>
    </row>
    <row r="400">
      <c r="I400" s="13" t="n"/>
    </row>
    <row r="401">
      <c r="I401" s="13" t="n"/>
    </row>
    <row r="402">
      <c r="I402" s="13" t="n"/>
    </row>
    <row r="403">
      <c r="I403" s="13" t="n"/>
    </row>
    <row r="404">
      <c r="I404" s="13" t="n"/>
    </row>
    <row r="405">
      <c r="I405" s="13" t="n"/>
    </row>
    <row r="406">
      <c r="I406" s="13" t="n"/>
    </row>
    <row r="407">
      <c r="I407" s="13" t="n"/>
    </row>
    <row r="408">
      <c r="I408" s="13" t="n"/>
    </row>
    <row r="409">
      <c r="I409" s="13" t="n"/>
    </row>
    <row r="410">
      <c r="I410" s="13" t="n"/>
    </row>
    <row r="411">
      <c r="I411" s="13" t="n"/>
    </row>
    <row r="412">
      <c r="I412" s="13" t="n"/>
    </row>
    <row r="413">
      <c r="I413" s="13" t="n"/>
    </row>
    <row r="414">
      <c r="I414" s="13" t="n"/>
    </row>
    <row r="415">
      <c r="I415" s="13" t="n"/>
    </row>
    <row r="416">
      <c r="I416" s="13" t="n"/>
    </row>
    <row r="417">
      <c r="I417" s="13" t="n"/>
    </row>
    <row r="418">
      <c r="I418" s="13" t="n"/>
    </row>
    <row r="419">
      <c r="I419" s="13" t="n"/>
    </row>
    <row r="420">
      <c r="I420" s="13" t="n"/>
    </row>
    <row r="421">
      <c r="I421" s="13" t="n"/>
    </row>
    <row r="422">
      <c r="I422" s="13" t="n"/>
    </row>
    <row r="423">
      <c r="I423" s="13" t="n"/>
    </row>
    <row r="424">
      <c r="I424" s="13" t="n"/>
    </row>
    <row r="425">
      <c r="I425" s="13" t="n"/>
    </row>
    <row r="426">
      <c r="I426" s="13" t="n"/>
    </row>
    <row r="427">
      <c r="I427" s="13" t="n"/>
    </row>
    <row r="428">
      <c r="I428" s="13" t="n"/>
    </row>
    <row r="429">
      <c r="I429" s="13" t="n"/>
    </row>
    <row r="430">
      <c r="I430" s="13" t="n"/>
    </row>
    <row r="431">
      <c r="I431" s="13" t="n"/>
    </row>
    <row r="432">
      <c r="I432" s="13" t="n"/>
    </row>
    <row r="433">
      <c r="I433" s="13" t="n"/>
    </row>
    <row r="434">
      <c r="I434" s="13" t="n"/>
    </row>
    <row r="435">
      <c r="I435" s="13" t="n"/>
    </row>
    <row r="436">
      <c r="I436" s="13" t="n"/>
    </row>
    <row r="437">
      <c r="I437" s="13" t="n"/>
    </row>
    <row r="438">
      <c r="I438" s="13" t="n"/>
    </row>
    <row r="439">
      <c r="I439" s="13" t="n"/>
    </row>
    <row r="440">
      <c r="I440" s="13" t="n"/>
    </row>
    <row r="441">
      <c r="I441" s="13" t="n"/>
    </row>
    <row r="442">
      <c r="I442" s="13" t="n"/>
    </row>
    <row r="443">
      <c r="I443" s="13" t="n"/>
    </row>
    <row r="444">
      <c r="I444" s="13" t="n"/>
    </row>
    <row r="445">
      <c r="I445" s="13" t="n"/>
    </row>
    <row r="446">
      <c r="I446" s="13" t="n"/>
    </row>
    <row r="447">
      <c r="I447" s="13" t="n"/>
    </row>
    <row r="448">
      <c r="I448" s="13" t="n"/>
    </row>
    <row r="449">
      <c r="I449" s="13" t="n"/>
    </row>
    <row r="450">
      <c r="I450" s="13" t="n"/>
    </row>
    <row r="451">
      <c r="I451" s="13" t="n"/>
    </row>
    <row r="452">
      <c r="I452" s="13" t="n"/>
    </row>
    <row r="453">
      <c r="I453" s="13" t="n"/>
    </row>
    <row r="454">
      <c r="I454" s="13" t="n"/>
    </row>
    <row r="455">
      <c r="I455" s="13" t="n"/>
    </row>
    <row r="456">
      <c r="I456" s="13" t="n"/>
    </row>
    <row r="457">
      <c r="I457" s="13" t="n"/>
    </row>
    <row r="458">
      <c r="I458" s="13" t="n"/>
    </row>
    <row r="459">
      <c r="I459" s="13" t="n"/>
    </row>
    <row r="460">
      <c r="I460" s="13" t="n"/>
    </row>
    <row r="461">
      <c r="I461" s="13" t="n"/>
    </row>
    <row r="462">
      <c r="I462" s="13" t="n"/>
    </row>
    <row r="463">
      <c r="I463" s="13" t="n"/>
    </row>
    <row r="464">
      <c r="I464" s="13" t="n"/>
    </row>
    <row r="465">
      <c r="I465" s="13" t="n"/>
    </row>
    <row r="466">
      <c r="I466" s="13" t="n"/>
    </row>
    <row r="467">
      <c r="I467" s="13" t="n"/>
    </row>
    <row r="468">
      <c r="I468" s="13" t="n"/>
    </row>
    <row r="469">
      <c r="I469" s="13" t="n"/>
    </row>
    <row r="470">
      <c r="I470" s="13" t="n"/>
    </row>
    <row r="471">
      <c r="I471" s="13" t="n"/>
    </row>
    <row r="472">
      <c r="I472" s="13" t="n"/>
    </row>
    <row r="473">
      <c r="I473" s="13" t="n"/>
    </row>
    <row r="474">
      <c r="I474" s="13" t="n"/>
    </row>
    <row r="475">
      <c r="I475" s="13" t="n"/>
    </row>
    <row r="476">
      <c r="I476" s="13" t="n"/>
    </row>
    <row r="477">
      <c r="I477" s="13" t="n"/>
    </row>
    <row r="478">
      <c r="I478" s="13" t="n"/>
    </row>
    <row r="479">
      <c r="I479" s="13" t="n"/>
    </row>
    <row r="480">
      <c r="I480" s="13" t="n"/>
    </row>
    <row r="481">
      <c r="I481" s="13" t="n"/>
    </row>
    <row r="482">
      <c r="I482" s="13" t="n"/>
    </row>
    <row r="483">
      <c r="I483" s="13" t="n"/>
    </row>
    <row r="484">
      <c r="I484" s="13" t="n"/>
    </row>
    <row r="485">
      <c r="I485" s="13" t="n"/>
    </row>
    <row r="486">
      <c r="I486" s="13" t="n"/>
    </row>
    <row r="487">
      <c r="I487" s="13" t="n"/>
    </row>
    <row r="488">
      <c r="I488" s="13" t="n"/>
    </row>
    <row r="489">
      <c r="I489" s="13" t="n"/>
    </row>
    <row r="490">
      <c r="I490" s="13" t="n"/>
    </row>
    <row r="491">
      <c r="I491" s="13" t="n"/>
    </row>
    <row r="492">
      <c r="I492" s="13" t="n"/>
    </row>
    <row r="493">
      <c r="I493" s="13" t="n"/>
    </row>
    <row r="494">
      <c r="I494" s="13" t="n"/>
    </row>
    <row r="495">
      <c r="I495" s="13" t="n"/>
    </row>
    <row r="496">
      <c r="I496" s="13" t="n"/>
    </row>
    <row r="497">
      <c r="I497" s="13" t="n"/>
    </row>
    <row r="498">
      <c r="I498" s="13" t="n"/>
    </row>
    <row r="499">
      <c r="I499" s="13" t="n"/>
    </row>
    <row r="500">
      <c r="I500" s="13" t="n"/>
    </row>
    <row r="501">
      <c r="I501" s="13" t="n"/>
    </row>
    <row r="502">
      <c r="I502" s="13" t="n"/>
    </row>
    <row r="503">
      <c r="I503" s="13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AA1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13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0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2" customWidth="1" min="20" max="20"/>
    <col width="12" customWidth="1" min="21" max="21"/>
    <col width="10" customWidth="1" min="22" max="22"/>
    <col width="13" customWidth="1" min="23" max="23"/>
    <col width="10" customWidth="1" min="24" max="24"/>
    <col width="14" customWidth="1" min="25" max="25"/>
    <col width="12" customWidth="1" min="26" max="26"/>
    <col width="22" customWidth="1" min="27" max="27"/>
  </cols>
  <sheetData>
    <row r="1" ht="30" customHeight="1">
      <c r="A1" s="9" t="inlineStr">
        <is>
          <t>表1 · 金辉典当不动产登记（单独一张，跟表2不混）</t>
        </is>
      </c>
    </row>
    <row r="2" ht="22" customHeight="1">
      <c r="A2" s="10" t="inlineStr">
        <is>
          <t>日滞纳金比率填在 W2 那格（原表是 0.001）。逾期天数和应收滞纳金自动算。</t>
        </is>
      </c>
    </row>
    <row r="3" ht="32" customHeight="1">
      <c r="A3" s="17" t="inlineStr">
        <is>
          <t>序号</t>
        </is>
      </c>
      <c r="B3" s="17" t="inlineStr">
        <is>
          <t>抵押物品 ★</t>
        </is>
      </c>
      <c r="C3" s="17" t="inlineStr">
        <is>
          <t>状态 ★</t>
        </is>
      </c>
      <c r="D3" s="17" t="inlineStr">
        <is>
          <t>客户姓名 ★</t>
        </is>
      </c>
      <c r="E3" s="17" t="inlineStr">
        <is>
          <t>客户电话</t>
        </is>
      </c>
      <c r="F3" s="17" t="inlineStr">
        <is>
          <t>当票号</t>
        </is>
      </c>
      <c r="G3" s="17" t="inlineStr">
        <is>
          <t>当票日期</t>
        </is>
      </c>
      <c r="H3" s="17" t="inlineStr">
        <is>
          <t>当票到期日</t>
        </is>
      </c>
      <c r="I3" s="17" t="inlineStr">
        <is>
          <t>出款日期</t>
        </is>
      </c>
      <c r="J3" s="17" t="inlineStr">
        <is>
          <t>典当金额 ★</t>
        </is>
      </c>
      <c r="K3" s="17" t="inlineStr">
        <is>
          <t>典当系统费率</t>
        </is>
      </c>
      <c r="L3" s="17" t="inlineStr">
        <is>
          <t>应收金额(利息)</t>
        </is>
      </c>
      <c r="M3" s="17" t="inlineStr">
        <is>
          <t>开票金额</t>
        </is>
      </c>
      <c r="N3" s="17" t="inlineStr">
        <is>
          <t>对公</t>
        </is>
      </c>
      <c r="O3" s="17" t="inlineStr">
        <is>
          <t>林总</t>
        </is>
      </c>
      <c r="P3" s="17" t="inlineStr">
        <is>
          <t>建行/民生</t>
        </is>
      </c>
      <c r="Q3" s="17" t="inlineStr">
        <is>
          <t>微信</t>
        </is>
      </c>
      <c r="R3" s="17" t="inlineStr">
        <is>
          <t>违约金</t>
        </is>
      </c>
      <c r="S3" s="17" t="inlineStr">
        <is>
          <t>合计收款</t>
        </is>
      </c>
      <c r="T3" s="17" t="inlineStr">
        <is>
          <t>应付利息日</t>
        </is>
      </c>
      <c r="U3" s="17" t="inlineStr">
        <is>
          <t>实际付利息日</t>
        </is>
      </c>
      <c r="V3" s="17" t="inlineStr">
        <is>
          <t>逾期天数</t>
        </is>
      </c>
      <c r="W3" s="17" t="inlineStr">
        <is>
          <t>应收滞纳金</t>
        </is>
      </c>
      <c r="X3" s="17" t="inlineStr">
        <is>
          <t>付息方式</t>
        </is>
      </c>
      <c r="Y3" s="17" t="inlineStr">
        <is>
          <t>回款时间</t>
        </is>
      </c>
      <c r="Z3" s="17" t="inlineStr">
        <is>
          <t>回款金额</t>
        </is>
      </c>
      <c r="AA3" s="17" t="inlineStr">
        <is>
          <t>核对</t>
        </is>
      </c>
    </row>
    <row r="4">
      <c r="A4" s="18">
        <f>IF($D4="","",COUNTA($D$4:$D4))</f>
        <v/>
      </c>
      <c r="B4" s="12" t="inlineStr">
        <is>
          <t>不动产</t>
        </is>
      </c>
      <c r="C4" s="12" t="inlineStr">
        <is>
          <t>起诉</t>
        </is>
      </c>
      <c r="D4" s="12" t="inlineStr">
        <is>
          <t>李佳敏</t>
        </is>
      </c>
      <c r="E4" s="12" t="inlineStr">
        <is>
          <t>13027200576</t>
        </is>
      </c>
      <c r="F4" s="12" t="inlineStr">
        <is>
          <t>3519121393</t>
        </is>
      </c>
      <c r="G4" s="19" t="n">
        <v>44326</v>
      </c>
      <c r="H4" s="19" t="n"/>
      <c r="I4" s="19" t="n">
        <v>45240</v>
      </c>
      <c r="J4" s="20" t="n">
        <v>150000</v>
      </c>
      <c r="K4" s="21" t="n">
        <v>0.025</v>
      </c>
      <c r="L4" s="20" t="n">
        <v>3750</v>
      </c>
      <c r="M4" s="20" t="n">
        <v>3750</v>
      </c>
      <c r="N4" s="20" t="n"/>
      <c r="O4" s="20" t="n"/>
      <c r="P4" s="20" t="n"/>
      <c r="Q4" s="20" t="n"/>
      <c r="R4" s="20" t="n"/>
      <c r="S4" s="22">
        <f>IF($D4="","",ROUND(N($N4)+N($O4)+N($P4)+N($Q4)+N($R4),2))</f>
        <v/>
      </c>
      <c r="T4" s="19" t="n">
        <v>45332</v>
      </c>
      <c r="U4" s="19" t="n"/>
      <c r="V4" s="23">
        <f>IF($D4="","",IF(OR($T4="",$U4=""),0,MAX(0,INT($U4)-INT($T4))))</f>
        <v/>
      </c>
      <c r="W4" s="22">
        <f>IF($D4="","",ROUND(MAX(0,N($J4)*日滞纳金率*N($V4)-N($R4)),2))</f>
        <v/>
      </c>
      <c r="X4" s="12" t="inlineStr">
        <is>
          <t>先息</t>
        </is>
      </c>
      <c r="Y4" s="12" t="n"/>
      <c r="Z4" s="20" t="n"/>
      <c r="AA4" s="18">
        <f>IF($D4="","",IF(AND($C4&lt;&gt;"",ISNA(MATCH($C4,状态表,0))),"※状态不在【资料】里",IF(AND($G4&lt;&gt;"",$H4&lt;&gt;"",$H4&lt;$G4),"※到期日早于当票日期",IF(AND($F4&lt;&gt;"",COUNTIF($F$4:$F$123,$F4)&gt;1),"※当票号在本表里出现了不止一次",IF(AND(N($U4)&gt;0,N($T4)=0),"※填了实际付息日但没填应付息日","")))))</f>
        <v/>
      </c>
    </row>
    <row r="5">
      <c r="A5" s="18">
        <f>IF($D5="","",COUNTA($D$4:$D5))</f>
        <v/>
      </c>
      <c r="B5" s="12" t="inlineStr">
        <is>
          <t>车位</t>
        </is>
      </c>
      <c r="C5" s="12" t="inlineStr">
        <is>
          <t>在当</t>
        </is>
      </c>
      <c r="D5" s="12" t="inlineStr">
        <is>
          <t>方楚钰</t>
        </is>
      </c>
      <c r="E5" s="12" t="inlineStr">
        <is>
          <t>18558706859</t>
        </is>
      </c>
      <c r="F5" s="12" t="inlineStr">
        <is>
          <t>3519121346</t>
        </is>
      </c>
      <c r="G5" s="19" t="n">
        <v>44453</v>
      </c>
      <c r="H5" s="19" t="n"/>
      <c r="I5" s="19" t="n">
        <v>45246</v>
      </c>
      <c r="J5" s="20" t="n">
        <v>50000</v>
      </c>
      <c r="K5" s="21" t="n">
        <v>0.025</v>
      </c>
      <c r="L5" s="20" t="n">
        <v>1250</v>
      </c>
      <c r="M5" s="20" t="n">
        <v>2500</v>
      </c>
      <c r="N5" s="20" t="n"/>
      <c r="O5" s="20" t="n"/>
      <c r="P5" s="20" t="n"/>
      <c r="Q5" s="20" t="n"/>
      <c r="R5" s="20" t="n"/>
      <c r="S5" s="22">
        <f>IF($D5="","",ROUND(N($N5)+N($O5)+N($P5)+N($Q5)+N($R5),2))</f>
        <v/>
      </c>
      <c r="T5" s="19" t="n">
        <v>46280</v>
      </c>
      <c r="U5" s="19" t="n"/>
      <c r="V5" s="23">
        <f>IF($D5="","",IF(OR($T5="",$U5=""),0,MAX(0,INT($U5)-INT($T5))))</f>
        <v/>
      </c>
      <c r="W5" s="22">
        <f>IF($D5="","",ROUND(MAX(0,N($J5)*日滞纳金率*N($V5)-N($R5)),2))</f>
        <v/>
      </c>
      <c r="X5" s="12" t="inlineStr">
        <is>
          <t>先息</t>
        </is>
      </c>
      <c r="Y5" s="12" t="n"/>
      <c r="Z5" s="20" t="n"/>
      <c r="AA5" s="18">
        <f>IF($D5="","",IF(AND($C5&lt;&gt;"",ISNA(MATCH($C5,状态表,0))),"※状态不在【资料】里",IF(AND($G5&lt;&gt;"",$H5&lt;&gt;"",$H5&lt;$G5),"※到期日早于当票日期",IF(AND($F5&lt;&gt;"",COUNTIF($F$4:$F$123,$F5)&gt;1),"※当票号在本表里出现了不止一次",IF(AND(N($U5)&gt;0,N($T5)=0),"※填了实际付息日但没填应付息日","")))))</f>
        <v/>
      </c>
    </row>
    <row r="6">
      <c r="A6" s="18">
        <f>IF($D6="","",COUNTA($D$4:$D6))</f>
        <v/>
      </c>
      <c r="B6" s="12" t="inlineStr">
        <is>
          <t>不动产</t>
        </is>
      </c>
      <c r="C6" s="12" t="inlineStr">
        <is>
          <t>起诉</t>
        </is>
      </c>
      <c r="D6" s="12" t="inlineStr">
        <is>
          <t>王晓红</t>
        </is>
      </c>
      <c r="E6" s="12" t="inlineStr">
        <is>
          <t>13850106873</t>
        </is>
      </c>
      <c r="F6" s="12" t="inlineStr">
        <is>
          <t>3519123861</t>
        </is>
      </c>
      <c r="G6" s="19" t="n">
        <v>44456</v>
      </c>
      <c r="H6" s="19" t="n"/>
      <c r="I6" s="19" t="n">
        <v>45247</v>
      </c>
      <c r="J6" s="20" t="n">
        <v>70000</v>
      </c>
      <c r="K6" s="21" t="n">
        <v>0.025</v>
      </c>
      <c r="L6" s="20" t="n">
        <v>1750</v>
      </c>
      <c r="M6" s="20" t="n">
        <v>1750</v>
      </c>
      <c r="N6" s="20" t="n"/>
      <c r="O6" s="20" t="n"/>
      <c r="P6" s="20" t="n"/>
      <c r="Q6" s="20" t="n"/>
      <c r="R6" s="20" t="n"/>
      <c r="S6" s="22">
        <f>IF($D6="","",ROUND(N($N6)+N($O6)+N($P6)+N($Q6)+N($R6),2))</f>
        <v/>
      </c>
      <c r="T6" s="19" t="n">
        <v>45700</v>
      </c>
      <c r="U6" s="19" t="n"/>
      <c r="V6" s="23">
        <f>IF($D6="","",IF(OR($T6="",$U6=""),0,MAX(0,INT($U6)-INT($T6))))</f>
        <v/>
      </c>
      <c r="W6" s="22">
        <f>IF($D6="","",ROUND(MAX(0,N($J6)*日滞纳金率*N($V6)-N($R6)),2))</f>
        <v/>
      </c>
      <c r="X6" s="12" t="inlineStr">
        <is>
          <t>先息</t>
        </is>
      </c>
      <c r="Y6" s="12" t="n"/>
      <c r="Z6" s="20" t="n"/>
      <c r="AA6" s="18">
        <f>IF($D6="","",IF(AND($C6&lt;&gt;"",ISNA(MATCH($C6,状态表,0))),"※状态不在【资料】里",IF(AND($G6&lt;&gt;"",$H6&lt;&gt;"",$H6&lt;$G6),"※到期日早于当票日期",IF(AND($F6&lt;&gt;"",COUNTIF($F$4:$F$123,$F6)&gt;1),"※当票号在本表里出现了不止一次",IF(AND(N($U6)&gt;0,N($T6)=0),"※填了实际付息日但没填应付息日","")))))</f>
        <v/>
      </c>
    </row>
    <row r="7">
      <c r="A7" s="18">
        <f>IF($D7="","",COUNTA($D$4:$D7))</f>
        <v/>
      </c>
      <c r="B7" s="12" t="inlineStr">
        <is>
          <t>不动产</t>
        </is>
      </c>
      <c r="C7" s="12" t="inlineStr">
        <is>
          <t>在当</t>
        </is>
      </c>
      <c r="D7" s="12" t="inlineStr">
        <is>
          <t>罗淑珍</t>
        </is>
      </c>
      <c r="E7" s="12" t="inlineStr">
        <is>
          <t>13635268478</t>
        </is>
      </c>
      <c r="F7" s="12" t="inlineStr">
        <is>
          <t>3519121360</t>
        </is>
      </c>
      <c r="G7" s="19" t="n">
        <v>44485</v>
      </c>
      <c r="H7" s="19" t="n"/>
      <c r="I7" s="19" t="n">
        <v>45250</v>
      </c>
      <c r="J7" s="20" t="n">
        <v>40000</v>
      </c>
      <c r="K7" s="21" t="n">
        <v>0.025</v>
      </c>
      <c r="L7" s="20" t="n">
        <v>1000</v>
      </c>
      <c r="M7" s="20" t="n">
        <v>1250</v>
      </c>
      <c r="N7" s="20" t="n"/>
      <c r="O7" s="20" t="n"/>
      <c r="P7" s="20" t="n"/>
      <c r="Q7" s="20" t="n"/>
      <c r="R7" s="20" t="n"/>
      <c r="S7" s="22">
        <f>IF($D7="","",ROUND(N($N7)+N($O7)+N($P7)+N($Q7)+N($R7),2))</f>
        <v/>
      </c>
      <c r="T7" s="19" t="n">
        <v>46279</v>
      </c>
      <c r="U7" s="19" t="n"/>
      <c r="V7" s="23">
        <f>IF($D7="","",IF(OR($T7="",$U7=""),0,MAX(0,INT($U7)-INT($T7))))</f>
        <v/>
      </c>
      <c r="W7" s="22">
        <f>IF($D7="","",ROUND(MAX(0,N($J7)*日滞纳金率*N($V7)-N($R7)),2))</f>
        <v/>
      </c>
      <c r="X7" s="12" t="inlineStr">
        <is>
          <t>先息</t>
        </is>
      </c>
      <c r="Y7" s="12" t="n"/>
      <c r="Z7" s="20" t="n"/>
      <c r="AA7" s="18">
        <f>IF($D7="","",IF(AND($C7&lt;&gt;"",ISNA(MATCH($C7,状态表,0))),"※状态不在【资料】里",IF(AND($G7&lt;&gt;"",$H7&lt;&gt;"",$H7&lt;$G7),"※到期日早于当票日期",IF(AND($F7&lt;&gt;"",COUNTIF($F$4:$F$123,$F7)&gt;1),"※当票号在本表里出现了不止一次",IF(AND(N($U7)&gt;0,N($T7)=0),"※填了实际付息日但没填应付息日","")))))</f>
        <v/>
      </c>
    </row>
    <row r="8">
      <c r="A8" s="18">
        <f>IF($D8="","",COUNTA($D$4:$D8))</f>
        <v/>
      </c>
      <c r="B8" s="12" t="inlineStr">
        <is>
          <t>车位</t>
        </is>
      </c>
      <c r="C8" s="12" t="inlineStr">
        <is>
          <t>在当</t>
        </is>
      </c>
      <c r="D8" s="12" t="inlineStr">
        <is>
          <t>郭联兵</t>
        </is>
      </c>
      <c r="E8" s="12" t="inlineStr">
        <is>
          <t>13799989896</t>
        </is>
      </c>
      <c r="F8" s="12" t="inlineStr">
        <is>
          <t>3519156582</t>
        </is>
      </c>
      <c r="G8" s="19" t="n">
        <v>44578</v>
      </c>
      <c r="H8" s="19" t="n"/>
      <c r="I8" s="19" t="n">
        <v>45250</v>
      </c>
      <c r="J8" s="20" t="n">
        <v>100000</v>
      </c>
      <c r="K8" s="21" t="n">
        <v>0.027</v>
      </c>
      <c r="L8" s="20" t="n">
        <v>2700</v>
      </c>
      <c r="M8" s="20" t="n">
        <v>2700</v>
      </c>
      <c r="N8" s="20" t="n"/>
      <c r="O8" s="20" t="n"/>
      <c r="P8" s="20" t="n"/>
      <c r="Q8" s="20" t="n"/>
      <c r="R8" s="20" t="n"/>
      <c r="S8" s="22">
        <f>IF($D8="","",ROUND(N($N8)+N($O8)+N($P8)+N($Q8)+N($R8),2))</f>
        <v/>
      </c>
      <c r="T8" s="19" t="n">
        <v>46280</v>
      </c>
      <c r="U8" s="19" t="n"/>
      <c r="V8" s="23">
        <f>IF($D8="","",IF(OR($T8="",$U8=""),0,MAX(0,INT($U8)-INT($T8))))</f>
        <v/>
      </c>
      <c r="W8" s="22">
        <f>IF($D8="","",ROUND(MAX(0,N($J8)*日滞纳金率*N($V8)-N($R8)),2))</f>
        <v/>
      </c>
      <c r="X8" s="12" t="inlineStr">
        <is>
          <t>先息</t>
        </is>
      </c>
      <c r="Y8" s="12" t="n"/>
      <c r="Z8" s="20" t="n"/>
      <c r="AA8" s="18">
        <f>IF($D8="","",IF(AND($C8&lt;&gt;"",ISNA(MATCH($C8,状态表,0))),"※状态不在【资料】里",IF(AND($G8&lt;&gt;"",$H8&lt;&gt;"",$H8&lt;$G8),"※到期日早于当票日期",IF(AND($F8&lt;&gt;"",COUNTIF($F$4:$F$123,$F8)&gt;1),"※当票号在本表里出现了不止一次",IF(AND(N($U8)&gt;0,N($T8)=0),"※填了实际付息日但没填应付息日","")))))</f>
        <v/>
      </c>
    </row>
    <row r="9">
      <c r="A9" s="18">
        <f>IF($D9="","",COUNTA($D$4:$D9))</f>
        <v/>
      </c>
      <c r="B9" s="12" t="inlineStr">
        <is>
          <t>不动产</t>
        </is>
      </c>
      <c r="C9" s="12" t="inlineStr">
        <is>
          <t>在当</t>
        </is>
      </c>
      <c r="D9" s="12" t="inlineStr">
        <is>
          <t>郑大可</t>
        </is>
      </c>
      <c r="E9" s="12" t="inlineStr">
        <is>
          <t>13615013016</t>
        </is>
      </c>
      <c r="F9" s="12" t="inlineStr">
        <is>
          <t>3519156586</t>
        </is>
      </c>
      <c r="G9" s="19" t="n">
        <v>44587</v>
      </c>
      <c r="H9" s="19" t="n"/>
      <c r="I9" s="19" t="n">
        <v>45256</v>
      </c>
      <c r="J9" s="20" t="n">
        <v>40000</v>
      </c>
      <c r="K9" s="21" t="n">
        <v>0.025</v>
      </c>
      <c r="L9" s="20" t="n">
        <v>1500</v>
      </c>
      <c r="M9" s="20" t="n">
        <v>2500</v>
      </c>
      <c r="N9" s="20" t="n"/>
      <c r="O9" s="20" t="n"/>
      <c r="P9" s="20" t="n"/>
      <c r="Q9" s="20" t="n"/>
      <c r="R9" s="20" t="n"/>
      <c r="S9" s="22">
        <f>IF($D9="","",ROUND(N($N9)+N($O9)+N($P9)+N($Q9)+N($R9),2))</f>
        <v/>
      </c>
      <c r="T9" s="19" t="n">
        <v>45834</v>
      </c>
      <c r="U9" s="19" t="n"/>
      <c r="V9" s="23">
        <f>IF($D9="","",IF(OR($T9="",$U9=""),0,MAX(0,INT($U9)-INT($T9))))</f>
        <v/>
      </c>
      <c r="W9" s="22">
        <f>IF($D9="","",ROUND(MAX(0,N($J9)*日滞纳金率*N($V9)-N($R9)),2))</f>
        <v/>
      </c>
      <c r="X9" s="12" t="inlineStr">
        <is>
          <t>先息</t>
        </is>
      </c>
      <c r="Y9" s="12" t="n"/>
      <c r="Z9" s="20" t="n"/>
      <c r="AA9" s="18">
        <f>IF($D9="","",IF(AND($C9&lt;&gt;"",ISNA(MATCH($C9,状态表,0))),"※状态不在【资料】里",IF(AND($G9&lt;&gt;"",$H9&lt;&gt;"",$H9&lt;$G9),"※到期日早于当票日期",IF(AND($F9&lt;&gt;"",COUNTIF($F$4:$F$123,$F9)&gt;1),"※当票号在本表里出现了不止一次",IF(AND(N($U9)&gt;0,N($T9)=0),"※填了实际付息日但没填应付息日","")))))</f>
        <v/>
      </c>
    </row>
    <row r="10">
      <c r="A10" s="18">
        <f>IF($D10="","",COUNTA($D$4:$D10))</f>
        <v/>
      </c>
      <c r="B10" s="12" t="inlineStr">
        <is>
          <t>不动产</t>
        </is>
      </c>
      <c r="C10" s="12" t="inlineStr">
        <is>
          <t>起诉</t>
        </is>
      </c>
      <c r="D10" s="12" t="inlineStr">
        <is>
          <t>念武</t>
        </is>
      </c>
      <c r="E10" s="12" t="inlineStr">
        <is>
          <t>18359178289</t>
        </is>
      </c>
      <c r="F10" s="12" t="inlineStr">
        <is>
          <t>3519156594</t>
        </is>
      </c>
      <c r="G10" s="19" t="n">
        <v>44645</v>
      </c>
      <c r="H10" s="19" t="n"/>
      <c r="I10" s="19" t="n">
        <v>45255</v>
      </c>
      <c r="J10" s="20" t="n">
        <v>300000</v>
      </c>
      <c r="K10" s="21" t="n">
        <v>0.025</v>
      </c>
      <c r="L10" s="20" t="n">
        <v>7500</v>
      </c>
      <c r="M10" s="20" t="n">
        <v>7500</v>
      </c>
      <c r="N10" s="20" t="n"/>
      <c r="O10" s="20" t="n"/>
      <c r="P10" s="20" t="n"/>
      <c r="Q10" s="20" t="n"/>
      <c r="R10" s="20" t="n"/>
      <c r="S10" s="22">
        <f>IF($D10="","",ROUND(N($N10)+N($O10)+N($P10)+N($Q10)+N($R10),2))</f>
        <v/>
      </c>
      <c r="T10" s="19" t="n">
        <v>45285</v>
      </c>
      <c r="U10" s="19" t="n"/>
      <c r="V10" s="23">
        <f>IF($D10="","",IF(OR($T10="",$U10=""),0,MAX(0,INT($U10)-INT($T10))))</f>
        <v/>
      </c>
      <c r="W10" s="22">
        <f>IF($D10="","",ROUND(MAX(0,N($J10)*日滞纳金率*N($V10)-N($R10)),2))</f>
        <v/>
      </c>
      <c r="X10" s="12" t="inlineStr">
        <is>
          <t>先息</t>
        </is>
      </c>
      <c r="Y10" s="12" t="n"/>
      <c r="Z10" s="20" t="n"/>
      <c r="AA10" s="18">
        <f>IF($D10="","",IF(AND($C10&lt;&gt;"",ISNA(MATCH($C10,状态表,0))),"※状态不在【资料】里",IF(AND($G10&lt;&gt;"",$H10&lt;&gt;"",$H10&lt;$G10),"※到期日早于当票日期",IF(AND($F10&lt;&gt;"",COUNTIF($F$4:$F$123,$F10)&gt;1),"※当票号在本表里出现了不止一次",IF(AND(N($U10)&gt;0,N($T10)=0),"※填了实际付息日但没填应付息日","")))))</f>
        <v/>
      </c>
    </row>
    <row r="11">
      <c r="A11" s="18">
        <f>IF($D11="","",COUNTA($D$4:$D11))</f>
        <v/>
      </c>
      <c r="B11" s="12" t="inlineStr">
        <is>
          <t>不动产</t>
        </is>
      </c>
      <c r="C11" s="12" t="inlineStr">
        <is>
          <t>结款未赎</t>
        </is>
      </c>
      <c r="D11" s="12" t="inlineStr">
        <is>
          <t>郑祥波</t>
        </is>
      </c>
      <c r="E11" s="12" t="inlineStr">
        <is>
          <t>13850175177</t>
        </is>
      </c>
      <c r="F11" s="12" t="n"/>
      <c r="G11" s="19" t="n">
        <v>44649</v>
      </c>
      <c r="H11" s="19" t="n"/>
      <c r="I11" s="19" t="n">
        <v>45258</v>
      </c>
      <c r="J11" s="20" t="n">
        <v>100000</v>
      </c>
      <c r="K11" s="21" t="n">
        <v>0.025</v>
      </c>
      <c r="L11" s="20" t="n">
        <v>2500</v>
      </c>
      <c r="M11" s="20" t="n">
        <v>3000</v>
      </c>
      <c r="N11" s="20" t="n"/>
      <c r="O11" s="20" t="n"/>
      <c r="P11" s="20" t="n"/>
      <c r="Q11" s="20" t="n"/>
      <c r="R11" s="20" t="n"/>
      <c r="S11" s="22">
        <f>IF($D11="","",ROUND(N($N11)+N($O11)+N($P11)+N($Q11)+N($R11),2))</f>
        <v/>
      </c>
      <c r="T11" s="19" t="n">
        <v>45743</v>
      </c>
      <c r="U11" s="19" t="n"/>
      <c r="V11" s="23">
        <f>IF($D11="","",IF(OR($T11="",$U11=""),0,MAX(0,INT($U11)-INT($T11))))</f>
        <v/>
      </c>
      <c r="W11" s="22">
        <f>IF($D11="","",ROUND(MAX(0,N($J11)*日滞纳金率*N($V11)-N($R11)),2))</f>
        <v/>
      </c>
      <c r="X11" s="12" t="inlineStr">
        <is>
          <t>先息</t>
        </is>
      </c>
      <c r="Y11" s="12" t="inlineStr">
        <is>
          <t>有两万未回典当对公</t>
        </is>
      </c>
      <c r="Z11" s="20" t="n"/>
      <c r="AA11" s="18">
        <f>IF($D11="","",IF(AND($C11&lt;&gt;"",ISNA(MATCH($C11,状态表,0))),"※状态不在【资料】里",IF(AND($G11&lt;&gt;"",$H11&lt;&gt;"",$H11&lt;$G11),"※到期日早于当票日期",IF(AND($F11&lt;&gt;"",COUNTIF($F$4:$F$123,$F11)&gt;1),"※当票号在本表里出现了不止一次",IF(AND(N($U11)&gt;0,N($T11)=0),"※填了实际付息日但没填应付息日","")))))</f>
        <v/>
      </c>
    </row>
    <row r="12">
      <c r="A12" s="18">
        <f>IF($D12="","",COUNTA($D$4:$D12))</f>
        <v/>
      </c>
      <c r="B12" s="12" t="inlineStr">
        <is>
          <t>不动产</t>
        </is>
      </c>
      <c r="C12" s="12" t="inlineStr">
        <is>
          <t>起诉</t>
        </is>
      </c>
      <c r="D12" s="12" t="inlineStr">
        <is>
          <t>周晓斌</t>
        </is>
      </c>
      <c r="E12" s="12" t="inlineStr">
        <is>
          <t>13705967988</t>
        </is>
      </c>
      <c r="F12" s="12" t="inlineStr">
        <is>
          <t>3519121345</t>
        </is>
      </c>
      <c r="G12" s="19" t="n">
        <v>44818</v>
      </c>
      <c r="H12" s="19" t="n"/>
      <c r="I12" s="19" t="n">
        <v>45244</v>
      </c>
      <c r="J12" s="20" t="n">
        <v>200000</v>
      </c>
      <c r="K12" s="21" t="n">
        <v>0.025</v>
      </c>
      <c r="L12" s="20" t="n">
        <v>5000</v>
      </c>
      <c r="M12" s="20" t="n">
        <v>5000</v>
      </c>
      <c r="N12" s="20" t="n"/>
      <c r="O12" s="20" t="n"/>
      <c r="P12" s="20" t="n"/>
      <c r="Q12" s="20" t="n"/>
      <c r="R12" s="20" t="n"/>
      <c r="S12" s="22">
        <f>IF($D12="","",ROUND(N($N12)+N($O12)+N($P12)+N($Q12)+N($R12),2))</f>
        <v/>
      </c>
      <c r="T12" s="19" t="n">
        <v>45336</v>
      </c>
      <c r="U12" s="19" t="n"/>
      <c r="V12" s="23">
        <f>IF($D12="","",IF(OR($T12="",$U12=""),0,MAX(0,INT($U12)-INT($T12))))</f>
        <v/>
      </c>
      <c r="W12" s="22">
        <f>IF($D12="","",ROUND(MAX(0,N($J12)*日滞纳金率*N($V12)-N($R12)),2))</f>
        <v/>
      </c>
      <c r="X12" s="12" t="inlineStr">
        <is>
          <t>先息</t>
        </is>
      </c>
      <c r="Y12" s="12" t="n"/>
      <c r="Z12" s="20" t="n"/>
      <c r="AA12" s="18">
        <f>IF($D12="","",IF(AND($C12&lt;&gt;"",ISNA(MATCH($C12,状态表,0))),"※状态不在【资料】里",IF(AND($G12&lt;&gt;"",$H12&lt;&gt;"",$H12&lt;$G12),"※到期日早于当票日期",IF(AND($F12&lt;&gt;"",COUNTIF($F$4:$F$123,$F12)&gt;1),"※当票号在本表里出现了不止一次",IF(AND(N($U12)&gt;0,N($T12)=0),"※填了实际付息日但没填应付息日","")))))</f>
        <v/>
      </c>
    </row>
    <row r="13">
      <c r="A13" s="18">
        <f>IF($D13="","",COUNTA($D$4:$D13))</f>
        <v/>
      </c>
      <c r="B13" s="12" t="inlineStr">
        <is>
          <t>不动产</t>
        </is>
      </c>
      <c r="C13" s="12" t="inlineStr">
        <is>
          <t>起诉还款</t>
        </is>
      </c>
      <c r="D13" s="12" t="inlineStr">
        <is>
          <t>朱俊良</t>
        </is>
      </c>
      <c r="E13" s="12" t="inlineStr">
        <is>
          <t>18065160734</t>
        </is>
      </c>
      <c r="F13" s="12" t="inlineStr">
        <is>
          <t>3519123869</t>
        </is>
      </c>
      <c r="G13" s="19" t="n">
        <v>44834</v>
      </c>
      <c r="H13" s="19" t="n"/>
      <c r="I13" s="19" t="n">
        <v>45214</v>
      </c>
      <c r="J13" s="20" t="n">
        <v>75000</v>
      </c>
      <c r="K13" s="21" t="n">
        <v>0.025</v>
      </c>
      <c r="L13" s="20" t="n">
        <v>1875</v>
      </c>
      <c r="M13" s="20" t="n">
        <v>1875</v>
      </c>
      <c r="N13" s="20" t="n"/>
      <c r="O13" s="20" t="n"/>
      <c r="P13" s="20" t="n"/>
      <c r="Q13" s="20" t="n"/>
      <c r="R13" s="20" t="n"/>
      <c r="S13" s="22">
        <f>IF($D13="","",ROUND(N($N13)+N($O13)+N($P13)+N($Q13)+N($R13),2))</f>
        <v/>
      </c>
      <c r="T13" s="19" t="n">
        <v>45229</v>
      </c>
      <c r="U13" s="19" t="n"/>
      <c r="V13" s="23">
        <f>IF($D13="","",IF(OR($T13="",$U13=""),0,MAX(0,INT($U13)-INT($T13))))</f>
        <v/>
      </c>
      <c r="W13" s="22">
        <f>IF($D13="","",ROUND(MAX(0,N($J13)*日滞纳金率*N($V13)-N($R13)),2))</f>
        <v/>
      </c>
      <c r="X13" s="12" t="inlineStr">
        <is>
          <t>先息</t>
        </is>
      </c>
      <c r="Y13" s="12" t="n"/>
      <c r="Z13" s="20" t="n"/>
      <c r="AA13" s="18">
        <f>IF($D13="","",IF(AND($C13&lt;&gt;"",ISNA(MATCH($C13,状态表,0))),"※状态不在【资料】里",IF(AND($G13&lt;&gt;"",$H13&lt;&gt;"",$H13&lt;$G13),"※到期日早于当票日期",IF(AND($F13&lt;&gt;"",COUNTIF($F$4:$F$123,$F13)&gt;1),"※当票号在本表里出现了不止一次",IF(AND(N($U13)&gt;0,N($T13)=0),"※填了实际付息日但没填应付息日","")))))</f>
        <v/>
      </c>
    </row>
    <row r="14">
      <c r="A14" s="18">
        <f>IF($D14="","",COUNTA($D$4:$D14))</f>
        <v/>
      </c>
      <c r="B14" s="12" t="inlineStr">
        <is>
          <t>不动产</t>
        </is>
      </c>
      <c r="C14" s="12" t="inlineStr">
        <is>
          <t>起诉</t>
        </is>
      </c>
      <c r="D14" s="12" t="inlineStr">
        <is>
          <t>念武</t>
        </is>
      </c>
      <c r="E14" s="12" t="inlineStr">
        <is>
          <t>18359178289</t>
        </is>
      </c>
      <c r="F14" s="12" t="n"/>
      <c r="G14" s="19" t="n">
        <v>44861</v>
      </c>
      <c r="H14" s="19" t="n"/>
      <c r="I14" s="19" t="n">
        <v>45258</v>
      </c>
      <c r="J14" s="20" t="n">
        <v>150000</v>
      </c>
      <c r="K14" s="21" t="n">
        <v>0.025</v>
      </c>
      <c r="L14" s="20" t="n">
        <v>3750</v>
      </c>
      <c r="M14" s="20" t="n">
        <v>3750</v>
      </c>
      <c r="N14" s="20" t="n"/>
      <c r="O14" s="20" t="n"/>
      <c r="P14" s="20" t="n"/>
      <c r="Q14" s="20" t="n"/>
      <c r="R14" s="20" t="n"/>
      <c r="S14" s="22">
        <f>IF($D14="","",ROUND(N($N14)+N($O14)+N($P14)+N($Q14)+N($R14),2))</f>
        <v/>
      </c>
      <c r="T14" s="19" t="n">
        <v>45257</v>
      </c>
      <c r="U14" s="19" t="n"/>
      <c r="V14" s="23">
        <f>IF($D14="","",IF(OR($T14="",$U14=""),0,MAX(0,INT($U14)-INT($T14))))</f>
        <v/>
      </c>
      <c r="W14" s="22">
        <f>IF($D14="","",ROUND(MAX(0,N($J14)*日滞纳金率*N($V14)-N($R14)),2))</f>
        <v/>
      </c>
      <c r="X14" s="12" t="inlineStr">
        <is>
          <t>先息</t>
        </is>
      </c>
      <c r="Y14" s="12" t="n"/>
      <c r="Z14" s="20" t="n"/>
      <c r="AA14" s="18">
        <f>IF($D14="","",IF(AND($C14&lt;&gt;"",ISNA(MATCH($C14,状态表,0))),"※状态不在【资料】里",IF(AND($G14&lt;&gt;"",$H14&lt;&gt;"",$H14&lt;$G14),"※到期日早于当票日期",IF(AND($F14&lt;&gt;"",COUNTIF($F$4:$F$123,$F14)&gt;1),"※当票号在本表里出现了不止一次",IF(AND(N($U14)&gt;0,N($T14)=0),"※填了实际付息日但没填应付息日","")))))</f>
        <v/>
      </c>
    </row>
    <row r="15">
      <c r="A15" s="18">
        <f>IF($D15="","",COUNTA($D$4:$D15))</f>
        <v/>
      </c>
      <c r="B15" s="12" t="inlineStr">
        <is>
          <t>不动产</t>
        </is>
      </c>
      <c r="C15" s="12" t="inlineStr">
        <is>
          <t>起诉</t>
        </is>
      </c>
      <c r="D15" s="12" t="inlineStr">
        <is>
          <t>吴灵铭</t>
        </is>
      </c>
      <c r="E15" s="12" t="inlineStr">
        <is>
          <t>13950344383</t>
        </is>
      </c>
      <c r="F15" s="12" t="n"/>
      <c r="G15" s="19" t="n">
        <v>44887</v>
      </c>
      <c r="H15" s="19" t="n"/>
      <c r="I15" s="19" t="n">
        <v>45220</v>
      </c>
      <c r="J15" s="20" t="n">
        <v>150000</v>
      </c>
      <c r="K15" s="21" t="n">
        <v>0.01</v>
      </c>
      <c r="L15" s="20" t="n">
        <v>3750</v>
      </c>
      <c r="M15" s="20" t="n">
        <v>1500</v>
      </c>
      <c r="N15" s="20" t="n"/>
      <c r="O15" s="20" t="n"/>
      <c r="P15" s="20" t="n"/>
      <c r="Q15" s="20" t="n"/>
      <c r="R15" s="20" t="n"/>
      <c r="S15" s="22">
        <f>IF($D15="","",ROUND(N($N15)+N($O15)+N($P15)+N($Q15)+N($R15),2))</f>
        <v/>
      </c>
      <c r="T15" s="19" t="n">
        <v>45190</v>
      </c>
      <c r="U15" s="19" t="n"/>
      <c r="V15" s="23">
        <f>IF($D15="","",IF(OR($T15="",$U15=""),0,MAX(0,INT($U15)-INT($T15))))</f>
        <v/>
      </c>
      <c r="W15" s="22">
        <f>IF($D15="","",ROUND(MAX(0,N($J15)*日滞纳金率*N($V15)-N($R15)),2))</f>
        <v/>
      </c>
      <c r="X15" s="12" t="inlineStr">
        <is>
          <t>先息</t>
        </is>
      </c>
      <c r="Y15" s="12" t="n"/>
      <c r="Z15" s="20" t="n"/>
      <c r="AA15" s="18">
        <f>IF($D15="","",IF(AND($C15&lt;&gt;"",ISNA(MATCH($C15,状态表,0))),"※状态不在【资料】里",IF(AND($G15&lt;&gt;"",$H15&lt;&gt;"",$H15&lt;$G15),"※到期日早于当票日期",IF(AND($F15&lt;&gt;"",COUNTIF($F$4:$F$123,$F15)&gt;1),"※当票号在本表里出现了不止一次",IF(AND(N($U15)&gt;0,N($T15)=0),"※填了实际付息日但没填应付息日","")))))</f>
        <v/>
      </c>
    </row>
    <row r="16">
      <c r="A16" s="18">
        <f>IF($D16="","",COUNTA($D$4:$D16))</f>
        <v/>
      </c>
      <c r="B16" s="12" t="inlineStr">
        <is>
          <t>不动产</t>
        </is>
      </c>
      <c r="C16" s="12" t="inlineStr">
        <is>
          <t>起诉</t>
        </is>
      </c>
      <c r="D16" s="12" t="inlineStr">
        <is>
          <t>吴灵铭</t>
        </is>
      </c>
      <c r="E16" s="12" t="inlineStr">
        <is>
          <t>13950344383</t>
        </is>
      </c>
      <c r="F16" s="12" t="n"/>
      <c r="G16" s="19" t="n">
        <v>44888</v>
      </c>
      <c r="H16" s="19" t="n"/>
      <c r="I16" s="19" t="n">
        <v>45221</v>
      </c>
      <c r="J16" s="20" t="n">
        <v>150000</v>
      </c>
      <c r="K16" s="21" t="n">
        <v>0.025</v>
      </c>
      <c r="L16" s="20" t="n">
        <v>3750</v>
      </c>
      <c r="M16" s="20" t="n">
        <v>3750</v>
      </c>
      <c r="N16" s="20" t="n"/>
      <c r="O16" s="20" t="n"/>
      <c r="P16" s="20" t="n"/>
      <c r="Q16" s="20" t="n"/>
      <c r="R16" s="20" t="n"/>
      <c r="S16" s="22">
        <f>IF($D16="","",ROUND(N($N16)+N($O16)+N($P16)+N($Q16)+N($R16),2))</f>
        <v/>
      </c>
      <c r="T16" s="19" t="n">
        <v>45191</v>
      </c>
      <c r="U16" s="19" t="n"/>
      <c r="V16" s="23">
        <f>IF($D16="","",IF(OR($T16="",$U16=""),0,MAX(0,INT($U16)-INT($T16))))</f>
        <v/>
      </c>
      <c r="W16" s="22">
        <f>IF($D16="","",ROUND(MAX(0,N($J16)*日滞纳金率*N($V16)-N($R16)),2))</f>
        <v/>
      </c>
      <c r="X16" s="12" t="inlineStr">
        <is>
          <t>先息</t>
        </is>
      </c>
      <c r="Y16" s="12" t="n"/>
      <c r="Z16" s="20" t="n"/>
      <c r="AA16" s="18">
        <f>IF($D16="","",IF(AND($C16&lt;&gt;"",ISNA(MATCH($C16,状态表,0))),"※状态不在【资料】里",IF(AND($G16&lt;&gt;"",$H16&lt;&gt;"",$H16&lt;$G16),"※到期日早于当票日期",IF(AND($F16&lt;&gt;"",COUNTIF($F$4:$F$123,$F16)&gt;1),"※当票号在本表里出现了不止一次",IF(AND(N($U16)&gt;0,N($T16)=0),"※填了实际付息日但没填应付息日","")))))</f>
        <v/>
      </c>
    </row>
    <row r="17">
      <c r="A17" s="18">
        <f>IF($D17="","",COUNTA($D$4:$D17))</f>
        <v/>
      </c>
      <c r="B17" s="12" t="inlineStr">
        <is>
          <t>不动产</t>
        </is>
      </c>
      <c r="C17" s="12" t="inlineStr">
        <is>
          <t>起诉</t>
        </is>
      </c>
      <c r="D17" s="12" t="inlineStr">
        <is>
          <t>陈勇</t>
        </is>
      </c>
      <c r="E17" s="12" t="inlineStr">
        <is>
          <t>13706982320</t>
        </is>
      </c>
      <c r="F17" s="12" t="n"/>
      <c r="G17" s="19" t="n">
        <v>44893</v>
      </c>
      <c r="H17" s="19" t="n"/>
      <c r="I17" s="19" t="n">
        <v>45227</v>
      </c>
      <c r="J17" s="20" t="n">
        <v>50000</v>
      </c>
      <c r="K17" s="21" t="n">
        <v>0.025</v>
      </c>
      <c r="L17" s="20" t="n">
        <v>1250</v>
      </c>
      <c r="M17" s="20" t="n">
        <v>1250</v>
      </c>
      <c r="N17" s="20" t="n"/>
      <c r="O17" s="20" t="n"/>
      <c r="P17" s="20" t="n"/>
      <c r="Q17" s="20" t="n"/>
      <c r="R17" s="20" t="n"/>
      <c r="S17" s="22">
        <f>IF($D17="","",ROUND(N($N17)+N($O17)+N($P17)+N($Q17)+N($R17),2))</f>
        <v/>
      </c>
      <c r="T17" s="19" t="n">
        <v>45197</v>
      </c>
      <c r="U17" s="19" t="n"/>
      <c r="V17" s="23">
        <f>IF($D17="","",IF(OR($T17="",$U17=""),0,MAX(0,INT($U17)-INT($T17))))</f>
        <v/>
      </c>
      <c r="W17" s="22">
        <f>IF($D17="","",ROUND(MAX(0,N($J17)*日滞纳金率*N($V17)-N($R17)),2))</f>
        <v/>
      </c>
      <c r="X17" s="12" t="inlineStr">
        <is>
          <t>先息</t>
        </is>
      </c>
      <c r="Y17" s="12" t="n"/>
      <c r="Z17" s="20" t="n"/>
      <c r="AA17" s="18">
        <f>IF($D17="","",IF(AND($C17&lt;&gt;"",ISNA(MATCH($C17,状态表,0))),"※状态不在【资料】里",IF(AND($G17&lt;&gt;"",$H17&lt;&gt;"",$H17&lt;$G17),"※到期日早于当票日期",IF(AND($F17&lt;&gt;"",COUNTIF($F$4:$F$123,$F17)&gt;1),"※当票号在本表里出现了不止一次",IF(AND(N($U17)&gt;0,N($T17)=0),"※填了实际付息日但没填应付息日","")))))</f>
        <v/>
      </c>
    </row>
    <row r="18">
      <c r="A18" s="18">
        <f>IF($D18="","",COUNTA($D$4:$D18))</f>
        <v/>
      </c>
      <c r="B18" s="12" t="inlineStr">
        <is>
          <t>房产</t>
        </is>
      </c>
      <c r="C18" s="12" t="inlineStr">
        <is>
          <t>在当</t>
        </is>
      </c>
      <c r="D18" s="12" t="inlineStr">
        <is>
          <t>朱颜</t>
        </is>
      </c>
      <c r="E18" s="12" t="inlineStr">
        <is>
          <t>13706988853</t>
        </is>
      </c>
      <c r="F18" s="12" t="n"/>
      <c r="G18" s="19" t="n">
        <v>45034</v>
      </c>
      <c r="H18" s="19" t="n"/>
      <c r="I18" s="19" t="n">
        <v>45248</v>
      </c>
      <c r="J18" s="20" t="n">
        <v>150000</v>
      </c>
      <c r="K18" s="21" t="n">
        <v>0.028</v>
      </c>
      <c r="L18" s="20" t="n">
        <v>4200</v>
      </c>
      <c r="M18" s="20" t="n">
        <v>4200</v>
      </c>
      <c r="N18" s="20" t="n"/>
      <c r="O18" s="20" t="n"/>
      <c r="P18" s="20" t="n"/>
      <c r="Q18" s="20" t="n"/>
      <c r="R18" s="20" t="n"/>
      <c r="S18" s="22">
        <f>IF($D18="","",ROUND(N($N18)+N($O18)+N($P18)+N($Q18)+N($R18),2))</f>
        <v/>
      </c>
      <c r="T18" s="19" t="n">
        <v>45700</v>
      </c>
      <c r="U18" s="19" t="n"/>
      <c r="V18" s="23">
        <f>IF($D18="","",IF(OR($T18="",$U18=""),0,MAX(0,INT($U18)-INT($T18))))</f>
        <v/>
      </c>
      <c r="W18" s="22">
        <f>IF($D18="","",ROUND(MAX(0,N($J18)*日滞纳金率*N($V18)-N($R18)),2))</f>
        <v/>
      </c>
      <c r="X18" s="12" t="inlineStr">
        <is>
          <t>先息</t>
        </is>
      </c>
      <c r="Y18" s="12" t="n"/>
      <c r="Z18" s="20" t="n"/>
      <c r="AA18" s="18">
        <f>IF($D18="","",IF(AND($C18&lt;&gt;"",ISNA(MATCH($C18,状态表,0))),"※状态不在【资料】里",IF(AND($G18&lt;&gt;"",$H18&lt;&gt;"",$H18&lt;$G18),"※到期日早于当票日期",IF(AND($F18&lt;&gt;"",COUNTIF($F$4:$F$123,$F18)&gt;1),"※当票号在本表里出现了不止一次",IF(AND(N($U18)&gt;0,N($T18)=0),"※填了实际付息日但没填应付息日","")))))</f>
        <v/>
      </c>
    </row>
    <row r="19">
      <c r="A19" s="18">
        <f>IF($D19="","",COUNTA($D$4:$D19))</f>
        <v/>
      </c>
      <c r="B19" s="12" t="inlineStr">
        <is>
          <t>不动产</t>
        </is>
      </c>
      <c r="C19" s="12" t="inlineStr">
        <is>
          <t>起诉还款</t>
        </is>
      </c>
      <c r="D19" s="12" t="inlineStr">
        <is>
          <t>林华</t>
        </is>
      </c>
      <c r="E19" s="12" t="inlineStr">
        <is>
          <t>13960788050</t>
        </is>
      </c>
      <c r="F19" s="12" t="n"/>
      <c r="G19" s="19" t="n">
        <v>45132</v>
      </c>
      <c r="H19" s="19" t="n"/>
      <c r="I19" s="19" t="n">
        <v>45255</v>
      </c>
      <c r="J19" s="20" t="n">
        <v>20000</v>
      </c>
      <c r="K19" s="21" t="n">
        <v>0.03</v>
      </c>
      <c r="L19" s="20" t="n">
        <v>500</v>
      </c>
      <c r="M19" s="20" t="n">
        <v>500</v>
      </c>
      <c r="N19" s="20" t="n"/>
      <c r="O19" s="20" t="n"/>
      <c r="P19" s="20" t="n"/>
      <c r="Q19" s="20" t="n"/>
      <c r="R19" s="20" t="n"/>
      <c r="S19" s="22">
        <f>IF($D19="","",ROUND(N($N19)+N($O19)+N($P19)+N($Q19)+N($R19),2))</f>
        <v/>
      </c>
      <c r="T19" s="19" t="n">
        <v>45404</v>
      </c>
      <c r="U19" s="19" t="n"/>
      <c r="V19" s="23">
        <f>IF($D19="","",IF(OR($T19="",$U19=""),0,MAX(0,INT($U19)-INT($T19))))</f>
        <v/>
      </c>
      <c r="W19" s="22">
        <f>IF($D19="","",ROUND(MAX(0,N($J19)*日滞纳金率*N($V19)-N($R19)),2))</f>
        <v/>
      </c>
      <c r="X19" s="12" t="inlineStr">
        <is>
          <t>先息</t>
        </is>
      </c>
      <c r="Y19" s="12" t="n"/>
      <c r="Z19" s="20" t="n"/>
      <c r="AA19" s="18">
        <f>IF($D19="","",IF(AND($C19&lt;&gt;"",ISNA(MATCH($C19,状态表,0))),"※状态不在【资料】里",IF(AND($G19&lt;&gt;"",$H19&lt;&gt;"",$H19&lt;$G19),"※到期日早于当票日期",IF(AND($F19&lt;&gt;"",COUNTIF($F$4:$F$123,$F19)&gt;1),"※当票号在本表里出现了不止一次",IF(AND(N($U19)&gt;0,N($T19)=0),"※填了实际付息日但没填应付息日","")))))</f>
        <v/>
      </c>
    </row>
    <row r="20">
      <c r="A20" s="18">
        <f>IF($D20="","",COUNTA($D$4:$D20))</f>
        <v/>
      </c>
      <c r="B20" s="12" t="inlineStr">
        <is>
          <t>不动产</t>
        </is>
      </c>
      <c r="C20" s="12" t="inlineStr">
        <is>
          <t>起诉还款</t>
        </is>
      </c>
      <c r="D20" s="12" t="inlineStr">
        <is>
          <t>林晓霞</t>
        </is>
      </c>
      <c r="E20" s="12" t="inlineStr">
        <is>
          <t>15396066658</t>
        </is>
      </c>
      <c r="F20" s="12" t="n"/>
      <c r="G20" s="19" t="n">
        <v>45132</v>
      </c>
      <c r="H20" s="19" t="n"/>
      <c r="I20" s="19" t="n">
        <v>45255</v>
      </c>
      <c r="J20" s="20" t="n">
        <v>60000</v>
      </c>
      <c r="K20" s="21" t="n">
        <v>0.03</v>
      </c>
      <c r="L20" s="20" t="n">
        <v>1800</v>
      </c>
      <c r="M20" s="20" t="n">
        <v>1500</v>
      </c>
      <c r="N20" s="20" t="n"/>
      <c r="O20" s="20" t="n"/>
      <c r="P20" s="20" t="n"/>
      <c r="Q20" s="20" t="n"/>
      <c r="R20" s="20" t="n"/>
      <c r="S20" s="22">
        <f>IF($D20="","",ROUND(N($N20)+N($O20)+N($P20)+N($Q20)+N($R20),2))</f>
        <v/>
      </c>
      <c r="T20" s="19" t="n">
        <v>45404</v>
      </c>
      <c r="U20" s="19" t="n"/>
      <c r="V20" s="23">
        <f>IF($D20="","",IF(OR($T20="",$U20=""),0,MAX(0,INT($U20)-INT($T20))))</f>
        <v/>
      </c>
      <c r="W20" s="22">
        <f>IF($D20="","",ROUND(MAX(0,N($J20)*日滞纳金率*N($V20)-N($R20)),2))</f>
        <v/>
      </c>
      <c r="X20" s="12" t="inlineStr">
        <is>
          <t>先息</t>
        </is>
      </c>
      <c r="Y20" s="12" t="n"/>
      <c r="Z20" s="20" t="n"/>
      <c r="AA20" s="18">
        <f>IF($D20="","",IF(AND($C20&lt;&gt;"",ISNA(MATCH($C20,状态表,0))),"※状态不在【资料】里",IF(AND($G20&lt;&gt;"",$H20&lt;&gt;"",$H20&lt;$G20),"※到期日早于当票日期",IF(AND($F20&lt;&gt;"",COUNTIF($F$4:$F$123,$F20)&gt;1),"※当票号在本表里出现了不止一次",IF(AND(N($U20)&gt;0,N($T20)=0),"※填了实际付息日但没填应付息日","")))))</f>
        <v/>
      </c>
    </row>
    <row r="21">
      <c r="A21" s="18">
        <f>IF($D21="","",COUNTA($D$4:$D21))</f>
        <v/>
      </c>
      <c r="B21" s="12" t="inlineStr">
        <is>
          <t>不动产</t>
        </is>
      </c>
      <c r="C21" s="12" t="inlineStr">
        <is>
          <t>起诉</t>
        </is>
      </c>
      <c r="D21" s="12" t="inlineStr">
        <is>
          <t>何松</t>
        </is>
      </c>
      <c r="E21" s="12" t="n"/>
      <c r="F21" s="12" t="inlineStr">
        <is>
          <t>3519211804</t>
        </is>
      </c>
      <c r="G21" s="19" t="n">
        <v>45189</v>
      </c>
      <c r="H21" s="19" t="n"/>
      <c r="I21" s="19" t="n">
        <v>45250</v>
      </c>
      <c r="J21" s="20" t="n">
        <v>60000</v>
      </c>
      <c r="K21" s="21" t="n">
        <v>0.025</v>
      </c>
      <c r="L21" s="20" t="n">
        <v>1500</v>
      </c>
      <c r="M21" s="20" t="n">
        <v>2500</v>
      </c>
      <c r="N21" s="20" t="n"/>
      <c r="O21" s="20" t="n"/>
      <c r="P21" s="20" t="n"/>
      <c r="Q21" s="20" t="n"/>
      <c r="R21" s="20" t="n"/>
      <c r="S21" s="22">
        <f>IF($D21="","",ROUND(N($N21)+N($O21)+N($P21)+N($Q21)+N($R21),2))</f>
        <v/>
      </c>
      <c r="T21" s="19" t="n">
        <v>45703</v>
      </c>
      <c r="U21" s="19" t="n"/>
      <c r="V21" s="23">
        <f>IF($D21="","",IF(OR($T21="",$U21=""),0,MAX(0,INT($U21)-INT($T21))))</f>
        <v/>
      </c>
      <c r="W21" s="22">
        <f>IF($D21="","",ROUND(MAX(0,N($J21)*日滞纳金率*N($V21)-N($R21)),2))</f>
        <v/>
      </c>
      <c r="X21" s="12" t="inlineStr">
        <is>
          <t>先息</t>
        </is>
      </c>
      <c r="Y21" s="12" t="n"/>
      <c r="Z21" s="20" t="n"/>
      <c r="AA21" s="18">
        <f>IF($D21="","",IF(AND($C21&lt;&gt;"",ISNA(MATCH($C21,状态表,0))),"※状态不在【资料】里",IF(AND($G21&lt;&gt;"",$H21&lt;&gt;"",$H21&lt;$G21),"※到期日早于当票日期",IF(AND($F21&lt;&gt;"",COUNTIF($F$4:$F$123,$F21)&gt;1),"※当票号在本表里出现了不止一次",IF(AND(N($U21)&gt;0,N($T21)=0),"※填了实际付息日但没填应付息日","")))))</f>
        <v/>
      </c>
    </row>
    <row r="22">
      <c r="A22" s="18">
        <f>IF($D22="","",COUNTA($D$4:$D22))</f>
        <v/>
      </c>
      <c r="B22" s="12" t="inlineStr">
        <is>
          <t>不动产</t>
        </is>
      </c>
      <c r="C22" s="12" t="inlineStr">
        <is>
          <t>起诉</t>
        </is>
      </c>
      <c r="D22" s="12" t="inlineStr">
        <is>
          <t>黄平香</t>
        </is>
      </c>
      <c r="E22" s="12" t="inlineStr">
        <is>
          <t>13358278680</t>
        </is>
      </c>
      <c r="F22" s="12" t="inlineStr">
        <is>
          <t>3519211817</t>
        </is>
      </c>
      <c r="G22" s="19" t="n">
        <v>45254</v>
      </c>
      <c r="H22" s="19" t="n"/>
      <c r="I22" s="19" t="n">
        <v>45254</v>
      </c>
      <c r="J22" s="20" t="n">
        <v>90000</v>
      </c>
      <c r="K22" s="21" t="n">
        <v>0.025</v>
      </c>
      <c r="L22" s="20" t="n">
        <v>2500</v>
      </c>
      <c r="M22" s="20" t="n">
        <v>2500</v>
      </c>
      <c r="N22" s="20" t="n"/>
      <c r="O22" s="20" t="n"/>
      <c r="P22" s="20" t="n"/>
      <c r="Q22" s="20" t="n"/>
      <c r="R22" s="20" t="n"/>
      <c r="S22" s="22">
        <f>IF($D22="","",ROUND(N($N22)+N($O22)+N($P22)+N($Q22)+N($R22),2))</f>
        <v/>
      </c>
      <c r="T22" s="19" t="n">
        <v>45706</v>
      </c>
      <c r="U22" s="19" t="n"/>
      <c r="V22" s="23">
        <f>IF($D22="","",IF(OR($T22="",$U22=""),0,MAX(0,INT($U22)-INT($T22))))</f>
        <v/>
      </c>
      <c r="W22" s="22">
        <f>IF($D22="","",ROUND(MAX(0,N($J22)*日滞纳金率*N($V22)-N($R22)),2))</f>
        <v/>
      </c>
      <c r="X22" s="12" t="inlineStr">
        <is>
          <t>先息</t>
        </is>
      </c>
      <c r="Y22" s="12" t="n"/>
      <c r="Z22" s="20" t="n"/>
      <c r="AA22" s="18">
        <f>IF($D22="","",IF(AND($C22&lt;&gt;"",ISNA(MATCH($C22,状态表,0))),"※状态不在【资料】里",IF(AND($G22&lt;&gt;"",$H22&lt;&gt;"",$H22&lt;$G22),"※到期日早于当票日期",IF(AND($F22&lt;&gt;"",COUNTIF($F$4:$F$123,$F22)&gt;1),"※当票号在本表里出现了不止一次",IF(AND(N($U22)&gt;0,N($T22)=0),"※填了实际付息日但没填应付息日","")))))</f>
        <v/>
      </c>
    </row>
    <row r="23">
      <c r="A23" s="18">
        <f>IF($D23="","",COUNTA($D$4:$D23))</f>
        <v/>
      </c>
      <c r="B23" s="12" t="inlineStr">
        <is>
          <t>不动产</t>
        </is>
      </c>
      <c r="C23" s="12" t="inlineStr">
        <is>
          <t>在当</t>
        </is>
      </c>
      <c r="D23" s="12" t="inlineStr">
        <is>
          <t>姚民威</t>
        </is>
      </c>
      <c r="E23" s="12" t="inlineStr">
        <is>
          <t>18050267666</t>
        </is>
      </c>
      <c r="F23" s="12" t="inlineStr">
        <is>
          <t>3519228936</t>
        </is>
      </c>
      <c r="G23" s="19" t="n">
        <v>45383</v>
      </c>
      <c r="H23" s="19" t="n"/>
      <c r="I23" s="19" t="n">
        <v>45383</v>
      </c>
      <c r="J23" s="20" t="n">
        <v>40000</v>
      </c>
      <c r="K23" s="21" t="n">
        <v>0.025</v>
      </c>
      <c r="L23" s="20" t="n">
        <v>1000</v>
      </c>
      <c r="M23" s="20" t="n">
        <v>2000</v>
      </c>
      <c r="N23" s="20" t="n"/>
      <c r="O23" s="20" t="n"/>
      <c r="P23" s="20" t="n"/>
      <c r="Q23" s="20" t="n"/>
      <c r="R23" s="20" t="n"/>
      <c r="S23" s="22">
        <f>IF($D23="","",ROUND(N($N23)+N($O23)+N($P23)+N($Q23)+N($R23),2))</f>
        <v/>
      </c>
      <c r="T23" s="19" t="n">
        <v>46275</v>
      </c>
      <c r="U23" s="19" t="n"/>
      <c r="V23" s="23">
        <f>IF($D23="","",IF(OR($T23="",$U23=""),0,MAX(0,INT($U23)-INT($T23))))</f>
        <v/>
      </c>
      <c r="W23" s="22">
        <f>IF($D23="","",ROUND(MAX(0,N($J23)*日滞纳金率*N($V23)-N($R23)),2))</f>
        <v/>
      </c>
      <c r="X23" s="12" t="inlineStr">
        <is>
          <t>先息</t>
        </is>
      </c>
      <c r="Y23" s="12" t="inlineStr">
        <is>
          <t>11月开始这笔就是5万，利息2.5%，就是1250元</t>
        </is>
      </c>
      <c r="Z23" s="20" t="n"/>
      <c r="AA23" s="18">
        <f>IF($D23="","",IF(AND($C23&lt;&gt;"",ISNA(MATCH($C23,状态表,0))),"※状态不在【资料】里",IF(AND($G23&lt;&gt;"",$H23&lt;&gt;"",$H23&lt;$G23),"※到期日早于当票日期",IF(AND($F23&lt;&gt;"",COUNTIF($F$4:$F$123,$F23)&gt;1),"※当票号在本表里出现了不止一次",IF(AND(N($U23)&gt;0,N($T23)=0),"※填了实际付息日但没填应付息日","")))))</f>
        <v/>
      </c>
    </row>
    <row r="24">
      <c r="A24" s="18">
        <f>IF($D24="","",COUNTA($D$4:$D24))</f>
        <v/>
      </c>
      <c r="B24" s="12" t="inlineStr">
        <is>
          <t>不动产</t>
        </is>
      </c>
      <c r="C24" s="12" t="inlineStr">
        <is>
          <t>在当</t>
        </is>
      </c>
      <c r="D24" s="12" t="inlineStr">
        <is>
          <t>杨惠慧（徐波）</t>
        </is>
      </c>
      <c r="E24" s="12" t="inlineStr">
        <is>
          <t>13559198275</t>
        </is>
      </c>
      <c r="F24" s="12" t="n"/>
      <c r="G24" s="19" t="n">
        <v>45412</v>
      </c>
      <c r="H24" s="19" t="n">
        <v>45500</v>
      </c>
      <c r="I24" s="19" t="n">
        <v>45412</v>
      </c>
      <c r="J24" s="20" t="n">
        <v>100000</v>
      </c>
      <c r="K24" s="21" t="n">
        <v>0.025</v>
      </c>
      <c r="L24" s="20" t="n">
        <v>2500</v>
      </c>
      <c r="M24" s="20" t="n">
        <v>2500</v>
      </c>
      <c r="N24" s="20" t="n"/>
      <c r="O24" s="20" t="n"/>
      <c r="P24" s="20" t="n"/>
      <c r="Q24" s="20" t="n"/>
      <c r="R24" s="20" t="n"/>
      <c r="S24" s="22">
        <f>IF($D24="","",ROUND(N($N24)+N($O24)+N($P24)+N($Q24)+N($R24),2))</f>
        <v/>
      </c>
      <c r="T24" s="19" t="n">
        <v>45708</v>
      </c>
      <c r="U24" s="19" t="n"/>
      <c r="V24" s="23">
        <f>IF($D24="","",IF(OR($T24="",$U24=""),0,MAX(0,INT($U24)-INT($T24))))</f>
        <v/>
      </c>
      <c r="W24" s="22">
        <f>IF($D24="","",ROUND(MAX(0,N($J24)*日滞纳金率*N($V24)-N($R24)),2))</f>
        <v/>
      </c>
      <c r="X24" s="12" t="inlineStr">
        <is>
          <t>先息</t>
        </is>
      </c>
      <c r="Y24" s="12" t="n"/>
      <c r="Z24" s="20" t="n"/>
      <c r="AA24" s="18">
        <f>IF($D24="","",IF(AND($C24&lt;&gt;"",ISNA(MATCH($C24,状态表,0))),"※状态不在【资料】里",IF(AND($G24&lt;&gt;"",$H24&lt;&gt;"",$H24&lt;$G24),"※到期日早于当票日期",IF(AND($F24&lt;&gt;"",COUNTIF($F$4:$F$123,$F24)&gt;1),"※当票号在本表里出现了不止一次",IF(AND(N($U24)&gt;0,N($T24)=0),"※填了实际付息日但没填应付息日","")))))</f>
        <v/>
      </c>
    </row>
    <row r="25">
      <c r="A25" s="18">
        <f>IF($D25="","",COUNTA($D$4:$D25))</f>
        <v/>
      </c>
      <c r="B25" s="12" t="inlineStr">
        <is>
          <t>不动产</t>
        </is>
      </c>
      <c r="C25" s="12" t="inlineStr">
        <is>
          <t>在当</t>
        </is>
      </c>
      <c r="D25" s="12" t="inlineStr">
        <is>
          <t>章俊</t>
        </is>
      </c>
      <c r="E25" s="12" t="n"/>
      <c r="F25" s="12" t="n"/>
      <c r="G25" s="19" t="n">
        <v>45419</v>
      </c>
      <c r="H25" s="19" t="n">
        <v>45478</v>
      </c>
      <c r="I25" s="19" t="n">
        <v>45421</v>
      </c>
      <c r="J25" s="20" t="n">
        <v>36500</v>
      </c>
      <c r="K25" s="21" t="n">
        <v>0.025</v>
      </c>
      <c r="L25" s="20" t="n">
        <v>912.5</v>
      </c>
      <c r="M25" s="20" t="n">
        <v>2500</v>
      </c>
      <c r="N25" s="20" t="n"/>
      <c r="O25" s="20" t="n"/>
      <c r="P25" s="20" t="n"/>
      <c r="Q25" s="20" t="n"/>
      <c r="R25" s="20" t="n"/>
      <c r="S25" s="22">
        <f>IF($D25="","",ROUND(N($N25)+N($O25)+N($P25)+N($Q25)+N($R25),2))</f>
        <v/>
      </c>
      <c r="T25" s="19" t="n">
        <v>46280</v>
      </c>
      <c r="U25" s="19" t="n"/>
      <c r="V25" s="23">
        <f>IF($D25="","",IF(OR($T25="",$U25=""),0,MAX(0,INT($U25)-INT($T25))))</f>
        <v/>
      </c>
      <c r="W25" s="22">
        <f>IF($D25="","",ROUND(MAX(0,N($J25)*日滞纳金率*N($V25)-N($R25)),2))</f>
        <v/>
      </c>
      <c r="X25" s="12" t="inlineStr">
        <is>
          <t>先息</t>
        </is>
      </c>
      <c r="Y25" s="12" t="n"/>
      <c r="Z25" s="20" t="n"/>
      <c r="AA25" s="18">
        <f>IF($D25="","",IF(AND($C25&lt;&gt;"",ISNA(MATCH($C25,状态表,0))),"※状态不在【资料】里",IF(AND($G25&lt;&gt;"",$H25&lt;&gt;"",$H25&lt;$G25),"※到期日早于当票日期",IF(AND($F25&lt;&gt;"",COUNTIF($F$4:$F$123,$F25)&gt;1),"※当票号在本表里出现了不止一次",IF(AND(N($U25)&gt;0,N($T25)=0),"※填了实际付息日但没填应付息日","")))))</f>
        <v/>
      </c>
    </row>
    <row r="26">
      <c r="A26" s="18">
        <f>IF($D26="","",COUNTA($D$4:$D26))</f>
        <v/>
      </c>
      <c r="B26" s="12" t="inlineStr">
        <is>
          <t>不动产</t>
        </is>
      </c>
      <c r="C26" s="12" t="inlineStr">
        <is>
          <t>在当</t>
        </is>
      </c>
      <c r="D26" s="12" t="inlineStr">
        <is>
          <t>陈锦珍</t>
        </is>
      </c>
      <c r="E26" s="12" t="inlineStr">
        <is>
          <t>13705954599</t>
        </is>
      </c>
      <c r="F26" s="12" t="inlineStr">
        <is>
          <t>3519228949</t>
        </is>
      </c>
      <c r="G26" s="19" t="n">
        <v>45457</v>
      </c>
      <c r="H26" s="19" t="n">
        <v>45636</v>
      </c>
      <c r="I26" s="19" t="n">
        <v>45460</v>
      </c>
      <c r="J26" s="20" t="n">
        <v>1000000</v>
      </c>
      <c r="K26" s="21" t="n">
        <v>0.018</v>
      </c>
      <c r="L26" s="20" t="n">
        <v>18000</v>
      </c>
      <c r="M26" s="20" t="n"/>
      <c r="N26" s="20" t="n"/>
      <c r="O26" s="20" t="n"/>
      <c r="P26" s="20" t="n"/>
      <c r="Q26" s="20" t="n"/>
      <c r="R26" s="20" t="n"/>
      <c r="S26" s="22">
        <f>IF($D26="","",ROUND(N($N26)+N($O26)+N($P26)+N($Q26)+N($R26),2))</f>
        <v/>
      </c>
      <c r="T26" s="19" t="n">
        <v>46124</v>
      </c>
      <c r="U26" s="19" t="n"/>
      <c r="V26" s="23">
        <f>IF($D26="","",IF(OR($T26="",$U26=""),0,MAX(0,INT($U26)-INT($T26))))</f>
        <v/>
      </c>
      <c r="W26" s="22">
        <f>IF($D26="","",ROUND(MAX(0,N($J26)*日滞纳金率*N($V26)-N($R26)),2))</f>
        <v/>
      </c>
      <c r="X26" s="12" t="inlineStr">
        <is>
          <t>先息</t>
        </is>
      </c>
      <c r="Y26" s="12" t="n"/>
      <c r="Z26" s="20" t="n"/>
      <c r="AA26" s="18">
        <f>IF($D26="","",IF(AND($C26&lt;&gt;"",ISNA(MATCH($C26,状态表,0))),"※状态不在【资料】里",IF(AND($G26&lt;&gt;"",$H26&lt;&gt;"",$H26&lt;$G26),"※到期日早于当票日期",IF(AND($F26&lt;&gt;"",COUNTIF($F$4:$F$123,$F26)&gt;1),"※当票号在本表里出现了不止一次",IF(AND(N($U26)&gt;0,N($T26)=0),"※填了实际付息日但没填应付息日","")))))</f>
        <v/>
      </c>
    </row>
    <row r="27">
      <c r="A27" s="18">
        <f>IF($D27="","",COUNTA($D$4:$D27))</f>
        <v/>
      </c>
      <c r="B27" s="12" t="inlineStr">
        <is>
          <t>名品</t>
        </is>
      </c>
      <c r="C27" s="12" t="inlineStr">
        <is>
          <t>虚当</t>
        </is>
      </c>
      <c r="D27" s="12" t="inlineStr">
        <is>
          <t>陈乐贵</t>
        </is>
      </c>
      <c r="E27" s="12" t="n"/>
      <c r="F27" s="12" t="inlineStr">
        <is>
          <t>3519237782</t>
        </is>
      </c>
      <c r="G27" s="19" t="n">
        <v>45484</v>
      </c>
      <c r="H27" s="19" t="n">
        <v>45663</v>
      </c>
      <c r="I27" s="19" t="n">
        <v>45484</v>
      </c>
      <c r="J27" s="20" t="n">
        <v>500000</v>
      </c>
      <c r="K27" s="21" t="n">
        <v>0.005</v>
      </c>
      <c r="L27" s="20" t="n"/>
      <c r="M27" s="20" t="n"/>
      <c r="N27" s="20" t="n"/>
      <c r="O27" s="20" t="n"/>
      <c r="P27" s="20" t="n"/>
      <c r="Q27" s="20" t="n"/>
      <c r="R27" s="20" t="n"/>
      <c r="S27" s="22">
        <f>IF($D27="","",ROUND(N($N27)+N($O27)+N($P27)+N($Q27)+N($R27),2))</f>
        <v/>
      </c>
      <c r="T27" s="19" t="n">
        <v>45513</v>
      </c>
      <c r="U27" s="19" t="n"/>
      <c r="V27" s="23">
        <f>IF($D27="","",IF(OR($T27="",$U27=""),0,MAX(0,INT($U27)-INT($T27))))</f>
        <v/>
      </c>
      <c r="W27" s="22">
        <f>IF($D27="","",ROUND(MAX(0,N($J27)*日滞纳金率*N($V27)-N($R27)),2))</f>
        <v/>
      </c>
      <c r="X27" s="12" t="inlineStr">
        <is>
          <t>后息</t>
        </is>
      </c>
      <c r="Y27" s="12" t="n"/>
      <c r="Z27" s="20" t="n"/>
      <c r="AA27" s="18">
        <f>IF($D27="","",IF(AND($C27&lt;&gt;"",ISNA(MATCH($C27,状态表,0))),"※状态不在【资料】里",IF(AND($G27&lt;&gt;"",$H27&lt;&gt;"",$H27&lt;$G27),"※到期日早于当票日期",IF(AND($F27&lt;&gt;"",COUNTIF($F$4:$F$123,$F27)&gt;1),"※当票号在本表里出现了不止一次",IF(AND(N($U27)&gt;0,N($T27)=0),"※填了实际付息日但没填应付息日","")))))</f>
        <v/>
      </c>
    </row>
    <row r="28">
      <c r="A28" s="18">
        <f>IF($D28="","",COUNTA($D$4:$D28))</f>
        <v/>
      </c>
      <c r="B28" s="12" t="inlineStr">
        <is>
          <t>不动产</t>
        </is>
      </c>
      <c r="C28" s="12" t="inlineStr">
        <is>
          <t>起诉</t>
        </is>
      </c>
      <c r="D28" s="12" t="inlineStr">
        <is>
          <t>王建南</t>
        </is>
      </c>
      <c r="E28" s="12" t="inlineStr">
        <is>
          <t>13705971124</t>
        </is>
      </c>
      <c r="F28" s="12" t="inlineStr">
        <is>
          <t>3519252753</t>
        </is>
      </c>
      <c r="G28" s="19" t="n">
        <v>45574</v>
      </c>
      <c r="H28" s="19" t="n">
        <v>45663</v>
      </c>
      <c r="I28" s="19" t="n">
        <v>45575</v>
      </c>
      <c r="J28" s="20" t="n">
        <v>150000</v>
      </c>
      <c r="K28" s="21" t="n">
        <v>0.025</v>
      </c>
      <c r="L28" s="20" t="n">
        <v>8500</v>
      </c>
      <c r="M28" s="20" t="n"/>
      <c r="N28" s="20" t="n"/>
      <c r="O28" s="20" t="n"/>
      <c r="P28" s="20" t="n"/>
      <c r="Q28" s="20" t="n"/>
      <c r="R28" s="20" t="n"/>
      <c r="S28" s="22">
        <f>IF($D28="","",ROUND(N($N28)+N($O28)+N($P28)+N($Q28)+N($R28),2))</f>
        <v/>
      </c>
      <c r="T28" s="19" t="n">
        <v>45782</v>
      </c>
      <c r="U28" s="19" t="n"/>
      <c r="V28" s="23">
        <f>IF($D28="","",IF(OR($T28="",$U28=""),0,MAX(0,INT($U28)-INT($T28))))</f>
        <v/>
      </c>
      <c r="W28" s="22">
        <f>IF($D28="","",ROUND(MAX(0,N($J28)*日滞纳金率*N($V28)-N($R28)),2))</f>
        <v/>
      </c>
      <c r="X28" s="12" t="inlineStr">
        <is>
          <t>先息</t>
        </is>
      </c>
      <c r="Y28" s="12" t="n"/>
      <c r="Z28" s="20" t="n"/>
      <c r="AA28" s="18">
        <f>IF($D28="","",IF(AND($C28&lt;&gt;"",ISNA(MATCH($C28,状态表,0))),"※状态不在【资料】里",IF(AND($G28&lt;&gt;"",$H28&lt;&gt;"",$H28&lt;$G28),"※到期日早于当票日期",IF(AND($F28&lt;&gt;"",COUNTIF($F$4:$F$123,$F28)&gt;1),"※当票号在本表里出现了不止一次",IF(AND(N($U28)&gt;0,N($T28)=0),"※填了实际付息日但没填应付息日","")))))</f>
        <v/>
      </c>
    </row>
    <row r="29">
      <c r="A29" s="18">
        <f>IF($D29="","",COUNTA($D$4:$D29))</f>
        <v/>
      </c>
      <c r="B29" s="12" t="inlineStr">
        <is>
          <t>动产</t>
        </is>
      </c>
      <c r="C29" s="12" t="inlineStr">
        <is>
          <t>虚当</t>
        </is>
      </c>
      <c r="D29" s="12" t="inlineStr">
        <is>
          <t>柯志宏</t>
        </is>
      </c>
      <c r="E29" s="12" t="n"/>
      <c r="F29" s="12" t="inlineStr">
        <is>
          <t>3519252757</t>
        </is>
      </c>
      <c r="G29" s="19" t="n">
        <v>45590</v>
      </c>
      <c r="H29" s="19" t="n">
        <v>45679</v>
      </c>
      <c r="I29" s="19" t="n"/>
      <c r="J29" s="20" t="n">
        <v>260000</v>
      </c>
      <c r="K29" s="21" t="n">
        <v>0.008</v>
      </c>
      <c r="L29" s="20" t="n">
        <v>2080</v>
      </c>
      <c r="M29" s="20" t="n"/>
      <c r="N29" s="20" t="n"/>
      <c r="O29" s="20" t="n"/>
      <c r="P29" s="20" t="n"/>
      <c r="Q29" s="20" t="n"/>
      <c r="R29" s="20" t="n"/>
      <c r="S29" s="22">
        <f>IF($D29="","",ROUND(N($N29)+N($O29)+N($P29)+N($Q29)+N($R29),2))</f>
        <v/>
      </c>
      <c r="T29" s="19" t="n">
        <v>45677</v>
      </c>
      <c r="U29" s="19" t="n"/>
      <c r="V29" s="23">
        <f>IF($D29="","",IF(OR($T29="",$U29=""),0,MAX(0,INT($U29)-INT($T29))))</f>
        <v/>
      </c>
      <c r="W29" s="22">
        <f>IF($D29="","",ROUND(MAX(0,N($J29)*日滞纳金率*N($V29)-N($R29)),2))</f>
        <v/>
      </c>
      <c r="X29" s="12" t="n"/>
      <c r="Y29" s="12" t="inlineStr">
        <is>
          <t>25.2.20还吴姐建行，未还典当</t>
        </is>
      </c>
      <c r="Z29" s="20" t="n"/>
      <c r="AA29" s="18">
        <f>IF($D29="","",IF(AND($C29&lt;&gt;"",ISNA(MATCH($C29,状态表,0))),"※状态不在【资料】里",IF(AND($G29&lt;&gt;"",$H29&lt;&gt;"",$H29&lt;$G29),"※到期日早于当票日期",IF(AND($F29&lt;&gt;"",COUNTIF($F$4:$F$123,$F29)&gt;1),"※当票号在本表里出现了不止一次",IF(AND(N($U29)&gt;0,N($T29)=0),"※填了实际付息日但没填应付息日","")))))</f>
        <v/>
      </c>
    </row>
    <row r="30">
      <c r="A30" s="18">
        <f>IF($D30="","",COUNTA($D$4:$D30))</f>
        <v/>
      </c>
      <c r="B30" s="12" t="inlineStr">
        <is>
          <t>不动产</t>
        </is>
      </c>
      <c r="C30" s="12" t="inlineStr">
        <is>
          <t>在当</t>
        </is>
      </c>
      <c r="D30" s="12" t="inlineStr">
        <is>
          <t>杨惠慧（徐波）</t>
        </is>
      </c>
      <c r="E30" s="12" t="inlineStr">
        <is>
          <t>13559198275</t>
        </is>
      </c>
      <c r="F30" s="12" t="inlineStr">
        <is>
          <t>3519252755</t>
        </is>
      </c>
      <c r="G30" s="19" t="n">
        <v>45590</v>
      </c>
      <c r="H30" s="19" t="n">
        <v>45619</v>
      </c>
      <c r="I30" s="19" t="n"/>
      <c r="J30" s="20" t="n">
        <v>200000</v>
      </c>
      <c r="K30" s="21" t="n">
        <v>0.025</v>
      </c>
      <c r="L30" s="20" t="n">
        <v>5000</v>
      </c>
      <c r="M30" s="20" t="n"/>
      <c r="N30" s="20" t="n"/>
      <c r="O30" s="20" t="n"/>
      <c r="P30" s="20" t="n"/>
      <c r="Q30" s="20" t="n"/>
      <c r="R30" s="20" t="n"/>
      <c r="S30" s="22">
        <f>IF($D30="","",ROUND(N($N30)+N($O30)+N($P30)+N($Q30)+N($R30),2))</f>
        <v/>
      </c>
      <c r="T30" s="19" t="n">
        <v>45692</v>
      </c>
      <c r="U30" s="19" t="n"/>
      <c r="V30" s="23">
        <f>IF($D30="","",IF(OR($T30="",$U30=""),0,MAX(0,INT($U30)-INT($T30))))</f>
        <v/>
      </c>
      <c r="W30" s="22">
        <f>IF($D30="","",ROUND(MAX(0,N($J30)*日滞纳金率*N($V30)-N($R30)),2))</f>
        <v/>
      </c>
      <c r="X30" s="12" t="inlineStr">
        <is>
          <t>先息</t>
        </is>
      </c>
      <c r="Y30" s="12" t="n"/>
      <c r="Z30" s="20" t="n"/>
      <c r="AA30" s="18">
        <f>IF($D30="","",IF(AND($C30&lt;&gt;"",ISNA(MATCH($C30,状态表,0))),"※状态不在【资料】里",IF(AND($G30&lt;&gt;"",$H30&lt;&gt;"",$H30&lt;$G30),"※到期日早于当票日期",IF(AND($F30&lt;&gt;"",COUNTIF($F$4:$F$123,$F30)&gt;1),"※当票号在本表里出现了不止一次",IF(AND(N($U30)&gt;0,N($T30)=0),"※填了实际付息日但没填应付息日","")))))</f>
        <v/>
      </c>
    </row>
    <row r="31">
      <c r="A31" s="18">
        <f>IF($D31="","",COUNTA($D$4:$D31))</f>
        <v/>
      </c>
      <c r="B31" s="12" t="inlineStr">
        <is>
          <t>不动产</t>
        </is>
      </c>
      <c r="C31" s="12" t="inlineStr">
        <is>
          <t>在当</t>
        </is>
      </c>
      <c r="D31" s="12" t="inlineStr">
        <is>
          <t>潘立文</t>
        </is>
      </c>
      <c r="E31" s="12" t="inlineStr">
        <is>
          <t>18659109900</t>
        </is>
      </c>
      <c r="F31" s="12" t="inlineStr">
        <is>
          <t>3519252767</t>
        </is>
      </c>
      <c r="G31" s="19" t="n">
        <v>45633</v>
      </c>
      <c r="H31" s="19" t="n">
        <v>45722</v>
      </c>
      <c r="I31" s="19" t="n">
        <v>45636</v>
      </c>
      <c r="J31" s="20" t="n">
        <v>220000</v>
      </c>
      <c r="K31" s="21" t="n">
        <v>0.025</v>
      </c>
      <c r="L31" s="20" t="n">
        <v>5500</v>
      </c>
      <c r="M31" s="20" t="n"/>
      <c r="N31" s="20" t="n"/>
      <c r="O31" s="20" t="n"/>
      <c r="P31" s="20" t="n"/>
      <c r="Q31" s="20" t="n"/>
      <c r="R31" s="20" t="n"/>
      <c r="S31" s="22">
        <f>IF($D31="","",ROUND(N($N31)+N($O31)+N($P31)+N($Q31)+N($R31),2))</f>
        <v/>
      </c>
      <c r="T31" s="19" t="n">
        <v>46270</v>
      </c>
      <c r="U31" s="19" t="n"/>
      <c r="V31" s="23">
        <f>IF($D31="","",IF(OR($T31="",$U31=""),0,MAX(0,INT($U31)-INT($T31))))</f>
        <v/>
      </c>
      <c r="W31" s="22">
        <f>IF($D31="","",ROUND(MAX(0,N($J31)*日滞纳金率*N($V31)-N($R31)),2))</f>
        <v/>
      </c>
      <c r="X31" s="12" t="inlineStr">
        <is>
          <t>先息</t>
        </is>
      </c>
      <c r="Y31" s="12" t="n"/>
      <c r="Z31" s="20" t="n"/>
      <c r="AA31" s="18">
        <f>IF($D31="","",IF(AND($C31&lt;&gt;"",ISNA(MATCH($C31,状态表,0))),"※状态不在【资料】里",IF(AND($G31&lt;&gt;"",$H31&lt;&gt;"",$H31&lt;$G31),"※到期日早于当票日期",IF(AND($F31&lt;&gt;"",COUNTIF($F$4:$F$123,$F31)&gt;1),"※当票号在本表里出现了不止一次",IF(AND(N($U31)&gt;0,N($T31)=0),"※填了实际付息日但没填应付息日","")))))</f>
        <v/>
      </c>
    </row>
    <row r="32">
      <c r="A32" s="18">
        <f>IF($D32="","",COUNTA($D$4:$D32))</f>
        <v/>
      </c>
      <c r="B32" s="12" t="inlineStr">
        <is>
          <t>不动产</t>
        </is>
      </c>
      <c r="C32" s="12" t="inlineStr">
        <is>
          <t>起诉</t>
        </is>
      </c>
      <c r="D32" s="12" t="inlineStr">
        <is>
          <t>郑永贵</t>
        </is>
      </c>
      <c r="E32" s="12" t="inlineStr">
        <is>
          <t>13809505675</t>
        </is>
      </c>
      <c r="F32" s="12" t="inlineStr">
        <is>
          <t>3519252780</t>
        </is>
      </c>
      <c r="G32" s="19" t="n">
        <v>45723</v>
      </c>
      <c r="H32" s="19" t="n">
        <v>45812</v>
      </c>
      <c r="I32" s="19" t="n"/>
      <c r="J32" s="20" t="n">
        <v>250000</v>
      </c>
      <c r="K32" s="21" t="n">
        <v>0.025</v>
      </c>
      <c r="L32" s="20" t="n">
        <v>13750</v>
      </c>
      <c r="M32" s="20" t="n"/>
      <c r="N32" s="20" t="n"/>
      <c r="O32" s="20" t="n"/>
      <c r="P32" s="20" t="n"/>
      <c r="Q32" s="20" t="n"/>
      <c r="R32" s="20" t="n"/>
      <c r="S32" s="22">
        <f>IF($D32="","",ROUND(N($N32)+N($O32)+N($P32)+N($Q32)+N($R32),2))</f>
        <v/>
      </c>
      <c r="T32" s="19" t="n">
        <v>45968</v>
      </c>
      <c r="U32" s="19" t="n"/>
      <c r="V32" s="23">
        <f>IF($D32="","",IF(OR($T32="",$U32=""),0,MAX(0,INT($U32)-INT($T32))))</f>
        <v/>
      </c>
      <c r="W32" s="22">
        <f>IF($D32="","",ROUND(MAX(0,N($J32)*日滞纳金率*N($V32)-N($R32)),2))</f>
        <v/>
      </c>
      <c r="X32" s="12" t="inlineStr">
        <is>
          <t>先息</t>
        </is>
      </c>
      <c r="Y32" s="12" t="n"/>
      <c r="Z32" s="20" t="n"/>
      <c r="AA32" s="18">
        <f>IF($D32="","",IF(AND($C32&lt;&gt;"",ISNA(MATCH($C32,状态表,0))),"※状态不在【资料】里",IF(AND($G32&lt;&gt;"",$H32&lt;&gt;"",$H32&lt;$G32),"※到期日早于当票日期",IF(AND($F32&lt;&gt;"",COUNTIF($F$4:$F$123,$F32)&gt;1),"※当票号在本表里出现了不止一次",IF(AND(N($U32)&gt;0,N($T32)=0),"※填了实际付息日但没填应付息日","")))))</f>
        <v/>
      </c>
    </row>
    <row r="33">
      <c r="A33" s="18">
        <f>IF($D33="","",COUNTA($D$4:$D33))</f>
        <v/>
      </c>
      <c r="B33" s="12" t="inlineStr">
        <is>
          <t>车位</t>
        </is>
      </c>
      <c r="C33" s="12" t="inlineStr">
        <is>
          <t>在当</t>
        </is>
      </c>
      <c r="D33" s="12" t="inlineStr">
        <is>
          <t>方士雯</t>
        </is>
      </c>
      <c r="E33" s="12" t="inlineStr">
        <is>
          <t>18859197777</t>
        </is>
      </c>
      <c r="F33" s="12" t="inlineStr">
        <is>
          <t>3519252785</t>
        </is>
      </c>
      <c r="G33" s="19" t="n">
        <v>45758</v>
      </c>
      <c r="H33" s="19" t="n">
        <v>45846</v>
      </c>
      <c r="I33" s="19" t="n"/>
      <c r="J33" s="20" t="n">
        <v>45000</v>
      </c>
      <c r="K33" s="21" t="n">
        <v>0.03</v>
      </c>
      <c r="L33" s="20" t="n">
        <v>1350</v>
      </c>
      <c r="M33" s="20" t="n"/>
      <c r="N33" s="20" t="n"/>
      <c r="O33" s="20" t="n"/>
      <c r="P33" s="20" t="n"/>
      <c r="Q33" s="20" t="n"/>
      <c r="R33" s="20" t="n"/>
      <c r="S33" s="22">
        <f>IF($D33="","",ROUND(N($N33)+N($O33)+N($P33)+N($Q33)+N($R33),2))</f>
        <v/>
      </c>
      <c r="T33" s="19" t="n">
        <v>46275</v>
      </c>
      <c r="U33" s="19" t="n">
        <v>46275</v>
      </c>
      <c r="V33" s="23">
        <f>IF($D33="","",IF(OR($T33="",$U33=""),0,MAX(0,INT($U33)-INT($T33))))</f>
        <v/>
      </c>
      <c r="W33" s="22">
        <f>IF($D33="","",ROUND(MAX(0,N($J33)*日滞纳金率*N($V33)-N($R33)),2))</f>
        <v/>
      </c>
      <c r="X33" s="12" t="inlineStr">
        <is>
          <t>先息</t>
        </is>
      </c>
      <c r="Y33" s="12" t="n"/>
      <c r="Z33" s="20" t="n"/>
      <c r="AA33" s="18">
        <f>IF($D33="","",IF(AND($C33&lt;&gt;"",ISNA(MATCH($C33,状态表,0))),"※状态不在【资料】里",IF(AND($G33&lt;&gt;"",$H33&lt;&gt;"",$H33&lt;$G33),"※到期日早于当票日期",IF(AND($F33&lt;&gt;"",COUNTIF($F$4:$F$123,$F33)&gt;1),"※当票号在本表里出现了不止一次",IF(AND(N($U33)&gt;0,N($T33)=0),"※填了实际付息日但没填应付息日","")))))</f>
        <v/>
      </c>
    </row>
    <row r="34">
      <c r="A34" s="18">
        <f>IF($D34="","",COUNTA($D$4:$D34))</f>
        <v/>
      </c>
      <c r="B34" s="12" t="inlineStr">
        <is>
          <t>车位</t>
        </is>
      </c>
      <c r="C34" s="12" t="inlineStr">
        <is>
          <t>在当</t>
        </is>
      </c>
      <c r="D34" s="12" t="inlineStr">
        <is>
          <t>王毅</t>
        </is>
      </c>
      <c r="E34" s="12" t="inlineStr">
        <is>
          <t>15605917733</t>
        </is>
      </c>
      <c r="F34" s="12" t="inlineStr">
        <is>
          <t>3519252784</t>
        </is>
      </c>
      <c r="G34" s="19" t="n">
        <v>45754</v>
      </c>
      <c r="H34" s="19" t="n">
        <v>45933</v>
      </c>
      <c r="I34" s="19" t="n"/>
      <c r="J34" s="20" t="n">
        <v>40000</v>
      </c>
      <c r="K34" s="21" t="n">
        <v>0.025</v>
      </c>
      <c r="L34" s="20" t="n">
        <v>1000</v>
      </c>
      <c r="M34" s="20" t="n"/>
      <c r="N34" s="20" t="n"/>
      <c r="O34" s="20" t="n"/>
      <c r="P34" s="20" t="n"/>
      <c r="Q34" s="20" t="n"/>
      <c r="R34" s="20" t="n"/>
      <c r="S34" s="22">
        <f>IF($D34="","",ROUND(N($N34)+N($O34)+N($P34)+N($Q34)+N($R34),2))</f>
        <v/>
      </c>
      <c r="T34" s="19" t="n">
        <v>46147</v>
      </c>
      <c r="U34" s="19" t="n"/>
      <c r="V34" s="23">
        <f>IF($D34="","",IF(OR($T34="",$U34=""),0,MAX(0,INT($U34)-INT($T34))))</f>
        <v/>
      </c>
      <c r="W34" s="22">
        <f>IF($D34="","",ROUND(MAX(0,N($J34)*日滞纳金率*N($V34)-N($R34)),2))</f>
        <v/>
      </c>
      <c r="X34" s="12" t="inlineStr">
        <is>
          <t>先息</t>
        </is>
      </c>
      <c r="Y34" s="12" t="n"/>
      <c r="Z34" s="20" t="n"/>
      <c r="AA34" s="18">
        <f>IF($D34="","",IF(AND($C34&lt;&gt;"",ISNA(MATCH($C34,状态表,0))),"※状态不在【资料】里",IF(AND($G34&lt;&gt;"",$H34&lt;&gt;"",$H34&lt;$G34),"※到期日早于当票日期",IF(AND($F34&lt;&gt;"",COUNTIF($F$4:$F$123,$F34)&gt;1),"※当票号在本表里出现了不止一次",IF(AND(N($U34)&gt;0,N($T34)=0),"※填了实际付息日但没填应付息日","")))))</f>
        <v/>
      </c>
    </row>
    <row r="35">
      <c r="A35" s="18">
        <f>IF($D35="","",COUNTA($D$4:$D35))</f>
        <v/>
      </c>
      <c r="B35" s="12" t="inlineStr">
        <is>
          <t>不动产</t>
        </is>
      </c>
      <c r="C35" s="12" t="inlineStr">
        <is>
          <t>在当</t>
        </is>
      </c>
      <c r="D35" s="12" t="inlineStr">
        <is>
          <t>陈跃飞</t>
        </is>
      </c>
      <c r="E35" s="12" t="inlineStr">
        <is>
          <t>13509389773</t>
        </is>
      </c>
      <c r="F35" s="12" t="inlineStr">
        <is>
          <t>3519252793</t>
        </is>
      </c>
      <c r="G35" s="19" t="n">
        <v>45821</v>
      </c>
      <c r="H35" s="19" t="n">
        <v>45910</v>
      </c>
      <c r="I35" s="19" t="n"/>
      <c r="J35" s="20" t="n">
        <v>60000</v>
      </c>
      <c r="K35" s="21" t="n">
        <v>0.025</v>
      </c>
      <c r="L35" s="20" t="n">
        <v>1500</v>
      </c>
      <c r="M35" s="20" t="n"/>
      <c r="N35" s="20" t="n"/>
      <c r="O35" s="20" t="n"/>
      <c r="P35" s="20" t="n"/>
      <c r="Q35" s="20" t="n"/>
      <c r="R35" s="20" t="n"/>
      <c r="S35" s="22">
        <f>IF($D35="","",ROUND(N($N35)+N($O35)+N($P35)+N($Q35)+N($R35),2))</f>
        <v/>
      </c>
      <c r="T35" s="19" t="n">
        <v>46279</v>
      </c>
      <c r="U35" s="19" t="n"/>
      <c r="V35" s="23">
        <f>IF($D35="","",IF(OR($T35="",$U35=""),0,MAX(0,INT($U35)-INT($T35))))</f>
        <v/>
      </c>
      <c r="W35" s="22">
        <f>IF($D35="","",ROUND(MAX(0,N($J35)*日滞纳金率*N($V35)-N($R35)),2))</f>
        <v/>
      </c>
      <c r="X35" s="12" t="inlineStr">
        <is>
          <t>先息</t>
        </is>
      </c>
      <c r="Y35" s="12" t="n"/>
      <c r="Z35" s="20" t="n"/>
      <c r="AA35" s="18">
        <f>IF($D35="","",IF(AND($C35&lt;&gt;"",ISNA(MATCH($C35,状态表,0))),"※状态不在【资料】里",IF(AND($G35&lt;&gt;"",$H35&lt;&gt;"",$H35&lt;$G35),"※到期日早于当票日期",IF(AND($F35&lt;&gt;"",COUNTIF($F$4:$F$123,$F35)&gt;1),"※当票号在本表里出现了不止一次",IF(AND(N($U35)&gt;0,N($T35)=0),"※填了实际付息日但没填应付息日","")))))</f>
        <v/>
      </c>
    </row>
    <row r="36">
      <c r="A36" s="18">
        <f>IF($D36="","",COUNTA($D$4:$D36))</f>
        <v/>
      </c>
      <c r="B36" s="12" t="inlineStr">
        <is>
          <t>不动产</t>
        </is>
      </c>
      <c r="C36" s="12" t="inlineStr">
        <is>
          <t>起诉</t>
        </is>
      </c>
      <c r="D36" s="12" t="inlineStr">
        <is>
          <t>郑怡</t>
        </is>
      </c>
      <c r="E36" s="12" t="inlineStr">
        <is>
          <t>13850169648</t>
        </is>
      </c>
      <c r="F36" s="12" t="inlineStr">
        <is>
          <t>3519252792</t>
        </is>
      </c>
      <c r="G36" s="19" t="n">
        <v>45819</v>
      </c>
      <c r="H36" s="19" t="n">
        <v>45998</v>
      </c>
      <c r="I36" s="19" t="n"/>
      <c r="J36" s="20" t="n">
        <v>790000</v>
      </c>
      <c r="K36" s="21" t="n">
        <v>0.025</v>
      </c>
      <c r="L36" s="20" t="n">
        <v>19750</v>
      </c>
      <c r="M36" s="20" t="n"/>
      <c r="N36" s="20" t="n"/>
      <c r="O36" s="20" t="n"/>
      <c r="P36" s="20" t="n"/>
      <c r="Q36" s="20" t="n"/>
      <c r="R36" s="20" t="n"/>
      <c r="S36" s="22">
        <f>IF($D36="","",ROUND(N($N36)+N($O36)+N($P36)+N($Q36)+N($R36),2))</f>
        <v/>
      </c>
      <c r="T36" s="19" t="n">
        <v>45819</v>
      </c>
      <c r="U36" s="19" t="n"/>
      <c r="V36" s="23">
        <f>IF($D36="","",IF(OR($T36="",$U36=""),0,MAX(0,INT($U36)-INT($T36))))</f>
        <v/>
      </c>
      <c r="W36" s="22">
        <f>IF($D36="","",ROUND(MAX(0,N($J36)*日滞纳金率*N($V36)-N($R36)),2))</f>
        <v/>
      </c>
      <c r="X36" s="12" t="inlineStr">
        <is>
          <t>先息</t>
        </is>
      </c>
      <c r="Y36" s="12" t="n"/>
      <c r="Z36" s="20" t="n"/>
      <c r="AA36" s="18">
        <f>IF($D36="","",IF(AND($C36&lt;&gt;"",ISNA(MATCH($C36,状态表,0))),"※状态不在【资料】里",IF(AND($G36&lt;&gt;"",$H36&lt;&gt;"",$H36&lt;$G36),"※到期日早于当票日期",IF(AND($F36&lt;&gt;"",COUNTIF($F$4:$F$123,$F36)&gt;1),"※当票号在本表里出现了不止一次",IF(AND(N($U36)&gt;0,N($T36)=0),"※填了实际付息日但没填应付息日","")))))</f>
        <v/>
      </c>
    </row>
    <row r="37">
      <c r="A37" s="18">
        <f>IF($D37="","",COUNTA($D$4:$D37))</f>
        <v/>
      </c>
      <c r="B37" s="12" t="inlineStr">
        <is>
          <t>不动产</t>
        </is>
      </c>
      <c r="C37" s="12" t="inlineStr">
        <is>
          <t>在当</t>
        </is>
      </c>
      <c r="D37" s="12" t="inlineStr">
        <is>
          <t>涂志高</t>
        </is>
      </c>
      <c r="E37" s="12" t="inlineStr">
        <is>
          <t>13788892386</t>
        </is>
      </c>
      <c r="F37" s="12" t="inlineStr">
        <is>
          <t>3519252800</t>
        </is>
      </c>
      <c r="G37" s="19" t="n">
        <v>45895</v>
      </c>
      <c r="H37" s="19" t="n">
        <v>45924</v>
      </c>
      <c r="I37" s="19" t="n"/>
      <c r="J37" s="20" t="n">
        <v>340000</v>
      </c>
      <c r="K37" s="21" t="n">
        <v>0.016</v>
      </c>
      <c r="L37" s="20" t="n">
        <v>5440</v>
      </c>
      <c r="M37" s="20" t="n"/>
      <c r="N37" s="20" t="n"/>
      <c r="O37" s="20" t="n"/>
      <c r="P37" s="20" t="n"/>
      <c r="Q37" s="20" t="n"/>
      <c r="R37" s="20" t="n"/>
      <c r="S37" s="22">
        <f>IF($D37="","",ROUND(N($N37)+N($O37)+N($P37)+N($Q37)+N($R37),2))</f>
        <v/>
      </c>
      <c r="T37" s="19" t="n">
        <v>46137</v>
      </c>
      <c r="U37" s="19" t="n"/>
      <c r="V37" s="23">
        <f>IF($D37="","",IF(OR($T37="",$U37=""),0,MAX(0,INT($U37)-INT($T37))))</f>
        <v/>
      </c>
      <c r="W37" s="22">
        <f>IF($D37="","",ROUND(MAX(0,N($J37)*日滞纳金率*N($V37)-N($R37)),2))</f>
        <v/>
      </c>
      <c r="X37" s="12" t="inlineStr">
        <is>
          <t>先息</t>
        </is>
      </c>
      <c r="Y37" s="12" t="n"/>
      <c r="Z37" s="20" t="n"/>
      <c r="AA37" s="18">
        <f>IF($D37="","",IF(AND($C37&lt;&gt;"",ISNA(MATCH($C37,状态表,0))),"※状态不在【资料】里",IF(AND($G37&lt;&gt;"",$H37&lt;&gt;"",$H37&lt;$G37),"※到期日早于当票日期",IF(AND($F37&lt;&gt;"",COUNTIF($F$4:$F$123,$F37)&gt;1),"※当票号在本表里出现了不止一次",IF(AND(N($U37)&gt;0,N($T37)=0),"※填了实际付息日但没填应付息日","")))))</f>
        <v/>
      </c>
    </row>
    <row r="38">
      <c r="A38" s="18">
        <f>IF($D38="","",COUNTA($D$4:$D38))</f>
        <v/>
      </c>
      <c r="B38" s="12" t="inlineStr">
        <is>
          <t>不动产</t>
        </is>
      </c>
      <c r="C38" s="12" t="inlineStr">
        <is>
          <t>在当</t>
        </is>
      </c>
      <c r="D38" s="12" t="inlineStr">
        <is>
          <t>潘淑萍</t>
        </is>
      </c>
      <c r="E38" s="12" t="inlineStr">
        <is>
          <t>13960929966</t>
        </is>
      </c>
      <c r="F38" s="12" t="inlineStr">
        <is>
          <t>3519260505</t>
        </is>
      </c>
      <c r="G38" s="19" t="n">
        <v>45951</v>
      </c>
      <c r="H38" s="19" t="n">
        <v>46010</v>
      </c>
      <c r="I38" s="19" t="n"/>
      <c r="J38" s="20" t="n">
        <v>100000</v>
      </c>
      <c r="K38" s="21" t="n">
        <v>0.025</v>
      </c>
      <c r="L38" s="20" t="n">
        <v>2500</v>
      </c>
      <c r="M38" s="20" t="n"/>
      <c r="N38" s="20" t="n"/>
      <c r="O38" s="20" t="n"/>
      <c r="P38" s="20" t="n"/>
      <c r="Q38" s="20" t="n"/>
      <c r="R38" s="20" t="n"/>
      <c r="S38" s="22">
        <f>IF($D38="","",ROUND(N($N38)+N($O38)+N($P38)+N($Q38)+N($R38),2))</f>
        <v/>
      </c>
      <c r="T38" s="19" t="n">
        <v>46273</v>
      </c>
      <c r="U38" s="19" t="n">
        <v>46273</v>
      </c>
      <c r="V38" s="23">
        <f>IF($D38="","",IF(OR($T38="",$U38=""),0,MAX(0,INT($U38)-INT($T38))))</f>
        <v/>
      </c>
      <c r="W38" s="22">
        <f>IF($D38="","",ROUND(MAX(0,N($J38)*日滞纳金率*N($V38)-N($R38)),2))</f>
        <v/>
      </c>
      <c r="X38" s="12" t="inlineStr">
        <is>
          <t>先息</t>
        </is>
      </c>
      <c r="Y38" s="12" t="n"/>
      <c r="Z38" s="20" t="n"/>
      <c r="AA38" s="18">
        <f>IF($D38="","",IF(AND($C38&lt;&gt;"",ISNA(MATCH($C38,状态表,0))),"※状态不在【资料】里",IF(AND($G38&lt;&gt;"",$H38&lt;&gt;"",$H38&lt;$G38),"※到期日早于当票日期",IF(AND($F38&lt;&gt;"",COUNTIF($F$4:$F$123,$F38)&gt;1),"※当票号在本表里出现了不止一次",IF(AND(N($U38)&gt;0,N($T38)=0),"※填了实际付息日但没填应付息日","")))))</f>
        <v/>
      </c>
    </row>
    <row r="39">
      <c r="A39" s="18">
        <f>IF($D39="","",COUNTA($D$4:$D39))</f>
        <v/>
      </c>
      <c r="B39" s="12" t="inlineStr">
        <is>
          <t>动产</t>
        </is>
      </c>
      <c r="C39" s="12" t="inlineStr">
        <is>
          <t>虚当</t>
        </is>
      </c>
      <c r="D39" s="12" t="inlineStr">
        <is>
          <t>胡建通</t>
        </is>
      </c>
      <c r="E39" s="12" t="inlineStr">
        <is>
          <t>13805082625</t>
        </is>
      </c>
      <c r="F39" s="12" t="inlineStr">
        <is>
          <t>3519260503</t>
        </is>
      </c>
      <c r="G39" s="19" t="n">
        <v>45900</v>
      </c>
      <c r="H39" s="19" t="n">
        <v>45959</v>
      </c>
      <c r="I39" s="19" t="n"/>
      <c r="J39" s="20" t="n">
        <v>500000</v>
      </c>
      <c r="K39" s="21" t="n"/>
      <c r="L39" s="20" t="n"/>
      <c r="M39" s="20" t="n"/>
      <c r="N39" s="20" t="n"/>
      <c r="O39" s="20" t="n"/>
      <c r="P39" s="20" t="n"/>
      <c r="Q39" s="20" t="n"/>
      <c r="R39" s="20" t="n"/>
      <c r="S39" s="22">
        <f>IF($D39="","",ROUND(N($N39)+N($O39)+N($P39)+N($Q39)+N($R39),2))</f>
        <v/>
      </c>
      <c r="T39" s="19" t="n">
        <v>45900</v>
      </c>
      <c r="U39" s="19" t="n"/>
      <c r="V39" s="23">
        <f>IF($D39="","",IF(OR($T39="",$U39=""),0,MAX(0,INT($U39)-INT($T39))))</f>
        <v/>
      </c>
      <c r="W39" s="22">
        <f>IF($D39="","",ROUND(MAX(0,N($J39)*日滞纳金率*N($V39)-N($R39)),2))</f>
        <v/>
      </c>
      <c r="X39" s="12" t="n"/>
      <c r="Y39" s="12" t="n"/>
      <c r="Z39" s="20" t="n"/>
      <c r="AA39" s="18">
        <f>IF($D39="","",IF(AND($C39&lt;&gt;"",ISNA(MATCH($C39,状态表,0))),"※状态不在【资料】里",IF(AND($G39&lt;&gt;"",$H39&lt;&gt;"",$H39&lt;$G39),"※到期日早于当票日期",IF(AND($F39&lt;&gt;"",COUNTIF($F$4:$F$123,$F39)&gt;1),"※当票号在本表里出现了不止一次",IF(AND(N($U39)&gt;0,N($T39)=0),"※填了实际付息日但没填应付息日","")))))</f>
        <v/>
      </c>
    </row>
    <row r="40">
      <c r="A40" s="18">
        <f>IF($D40="","",COUNTA($D$4:$D40))</f>
        <v/>
      </c>
      <c r="B40" s="12" t="inlineStr">
        <is>
          <t>不动产</t>
        </is>
      </c>
      <c r="C40" s="12" t="inlineStr">
        <is>
          <t>在当</t>
        </is>
      </c>
      <c r="D40" s="12" t="inlineStr">
        <is>
          <t>林昌耿</t>
        </is>
      </c>
      <c r="E40" s="12" t="inlineStr">
        <is>
          <t>13705954599</t>
        </is>
      </c>
      <c r="F40" s="12" t="inlineStr">
        <is>
          <t>3519260506</t>
        </is>
      </c>
      <c r="G40" s="19" t="n">
        <v>45953</v>
      </c>
      <c r="H40" s="19" t="n">
        <v>46132</v>
      </c>
      <c r="I40" s="19" t="n"/>
      <c r="J40" s="20" t="n">
        <v>200000</v>
      </c>
      <c r="K40" s="21" t="n">
        <v>0.018</v>
      </c>
      <c r="L40" s="20" t="n">
        <v>3300</v>
      </c>
      <c r="M40" s="20" t="n"/>
      <c r="N40" s="20" t="n"/>
      <c r="O40" s="20" t="n"/>
      <c r="P40" s="20" t="n"/>
      <c r="Q40" s="20" t="n"/>
      <c r="R40" s="20" t="n"/>
      <c r="S40" s="22">
        <f>IF($D40="","",ROUND(N($N40)+N($O40)+N($P40)+N($Q40)+N($R40),2))</f>
        <v/>
      </c>
      <c r="T40" s="19" t="n">
        <v>46135</v>
      </c>
      <c r="U40" s="19" t="n"/>
      <c r="V40" s="23">
        <f>IF($D40="","",IF(OR($T40="",$U40=""),0,MAX(0,INT($U40)-INT($T40))))</f>
        <v/>
      </c>
      <c r="W40" s="22">
        <f>IF($D40="","",ROUND(MAX(0,N($J40)*日滞纳金率*N($V40)-N($R40)),2))</f>
        <v/>
      </c>
      <c r="X40" s="12" t="inlineStr">
        <is>
          <t>先息</t>
        </is>
      </c>
      <c r="Y40" s="12" t="n"/>
      <c r="Z40" s="20" t="n"/>
      <c r="AA40" s="18">
        <f>IF($D40="","",IF(AND($C40&lt;&gt;"",ISNA(MATCH($C40,状态表,0))),"※状态不在【资料】里",IF(AND($G40&lt;&gt;"",$H40&lt;&gt;"",$H40&lt;$G40),"※到期日早于当票日期",IF(AND($F40&lt;&gt;"",COUNTIF($F$4:$F$123,$F40)&gt;1),"※当票号在本表里出现了不止一次",IF(AND(N($U40)&gt;0,N($T40)=0),"※填了实际付息日但没填应付息日","")))))</f>
        <v/>
      </c>
    </row>
    <row r="41">
      <c r="A41" s="18">
        <f>IF($D41="","",COUNTA($D$4:$D41))</f>
        <v/>
      </c>
      <c r="B41" s="12" t="inlineStr">
        <is>
          <t>不动产</t>
        </is>
      </c>
      <c r="C41" s="12" t="inlineStr">
        <is>
          <t>在当</t>
        </is>
      </c>
      <c r="D41" s="12" t="inlineStr">
        <is>
          <t>王晶琰</t>
        </is>
      </c>
      <c r="E41" s="12" t="n"/>
      <c r="F41" s="12" t="n"/>
      <c r="G41" s="19" t="n">
        <v>45964</v>
      </c>
      <c r="H41" s="19" t="n">
        <v>45778</v>
      </c>
      <c r="I41" s="19" t="n"/>
      <c r="J41" s="20" t="n">
        <v>300000</v>
      </c>
      <c r="K41" s="21" t="n">
        <v>0.018</v>
      </c>
      <c r="L41" s="20" t="n">
        <v>5400</v>
      </c>
      <c r="M41" s="20" t="n"/>
      <c r="N41" s="20" t="n"/>
      <c r="O41" s="20" t="n"/>
      <c r="P41" s="20" t="n"/>
      <c r="Q41" s="20" t="n"/>
      <c r="R41" s="20" t="n"/>
      <c r="S41" s="22">
        <f>IF($D41="","",ROUND(N($N41)+N($O41)+N($P41)+N($Q41)+N($R41),2))</f>
        <v/>
      </c>
      <c r="T41" s="19" t="n">
        <v>46268</v>
      </c>
      <c r="U41" s="19" t="n">
        <v>46268</v>
      </c>
      <c r="V41" s="23">
        <f>IF($D41="","",IF(OR($T41="",$U41=""),0,MAX(0,INT($U41)-INT($T41))))</f>
        <v/>
      </c>
      <c r="W41" s="22">
        <f>IF($D41="","",ROUND(MAX(0,N($J41)*日滞纳金率*N($V41)-N($R41)),2))</f>
        <v/>
      </c>
      <c r="X41" s="12" t="inlineStr">
        <is>
          <t>后息</t>
        </is>
      </c>
      <c r="Y41" s="12" t="n"/>
      <c r="Z41" s="20" t="n"/>
      <c r="AA41" s="18">
        <f>IF($D41="","",IF(AND($C41&lt;&gt;"",ISNA(MATCH($C41,状态表,0))),"※状态不在【资料】里",IF(AND($G41&lt;&gt;"",$H41&lt;&gt;"",$H41&lt;$G41),"※到期日早于当票日期",IF(AND($F41&lt;&gt;"",COUNTIF($F$4:$F$123,$F41)&gt;1),"※当票号在本表里出现了不止一次",IF(AND(N($U41)&gt;0,N($T41)=0),"※填了实际付息日但没填应付息日","")))))</f>
        <v/>
      </c>
    </row>
    <row r="42">
      <c r="A42" s="18">
        <f>IF($D42="","",COUNTA($D$4:$D42))</f>
        <v/>
      </c>
      <c r="B42" s="12" t="inlineStr">
        <is>
          <t>不动产</t>
        </is>
      </c>
      <c r="C42" s="12" t="inlineStr">
        <is>
          <t>在当</t>
        </is>
      </c>
      <c r="D42" s="12" t="inlineStr">
        <is>
          <t>陈征</t>
        </is>
      </c>
      <c r="E42" s="12" t="inlineStr">
        <is>
          <t>18605916313</t>
        </is>
      </c>
      <c r="F42" s="12" t="n"/>
      <c r="G42" s="19" t="n">
        <v>45982</v>
      </c>
      <c r="H42" s="19" t="n">
        <v>46072</v>
      </c>
      <c r="I42" s="19" t="n"/>
      <c r="J42" s="20" t="n">
        <v>200000</v>
      </c>
      <c r="K42" s="21" t="n">
        <v>0.025</v>
      </c>
      <c r="L42" s="20" t="n">
        <v>5000</v>
      </c>
      <c r="M42" s="20" t="n"/>
      <c r="N42" s="20" t="n"/>
      <c r="O42" s="20" t="n"/>
      <c r="P42" s="20" t="n"/>
      <c r="Q42" s="20" t="n"/>
      <c r="R42" s="20" t="n"/>
      <c r="S42" s="22">
        <f>IF($D42="","",ROUND(N($N42)+N($O42)+N($P42)+N($Q42)+N($R42),2))</f>
        <v/>
      </c>
      <c r="T42" s="19" t="n">
        <v>46285</v>
      </c>
      <c r="U42" s="19" t="n"/>
      <c r="V42" s="23">
        <f>IF($D42="","",IF(OR($T42="",$U42=""),0,MAX(0,INT($U42)-INT($T42))))</f>
        <v/>
      </c>
      <c r="W42" s="22">
        <f>IF($D42="","",ROUND(MAX(0,N($J42)*日滞纳金率*N($V42)-N($R42)),2))</f>
        <v/>
      </c>
      <c r="X42" s="12" t="inlineStr">
        <is>
          <t>先息</t>
        </is>
      </c>
      <c r="Y42" s="12" t="n"/>
      <c r="Z42" s="20" t="n"/>
      <c r="AA42" s="18">
        <f>IF($D42="","",IF(AND($C42&lt;&gt;"",ISNA(MATCH($C42,状态表,0))),"※状态不在【资料】里",IF(AND($G42&lt;&gt;"",$H42&lt;&gt;"",$H42&lt;$G42),"※到期日早于当票日期",IF(AND($F42&lt;&gt;"",COUNTIF($F$4:$F$123,$F42)&gt;1),"※当票号在本表里出现了不止一次",IF(AND(N($U42)&gt;0,N($T42)=0),"※填了实际付息日但没填应付息日","")))))</f>
        <v/>
      </c>
    </row>
    <row r="43">
      <c r="A43" s="18">
        <f>IF($D43="","",COUNTA($D$4:$D43))</f>
        <v/>
      </c>
      <c r="B43" s="12" t="inlineStr">
        <is>
          <t>车位</t>
        </is>
      </c>
      <c r="C43" s="12" t="inlineStr">
        <is>
          <t>在当</t>
        </is>
      </c>
      <c r="D43" s="12" t="inlineStr">
        <is>
          <t>汤静</t>
        </is>
      </c>
      <c r="E43" s="12" t="inlineStr">
        <is>
          <t>13860608323</t>
        </is>
      </c>
      <c r="F43" s="12" t="inlineStr">
        <is>
          <t>3519260513</t>
        </is>
      </c>
      <c r="G43" s="19" t="n">
        <v>46037</v>
      </c>
      <c r="H43" s="19" t="n">
        <v>46216</v>
      </c>
      <c r="I43" s="19" t="n"/>
      <c r="J43" s="20" t="n">
        <v>53000</v>
      </c>
      <c r="K43" s="21" t="n">
        <v>0.025</v>
      </c>
      <c r="L43" s="20" t="n">
        <v>1500</v>
      </c>
      <c r="M43" s="20" t="n"/>
      <c r="N43" s="20" t="n"/>
      <c r="O43" s="20" t="n"/>
      <c r="P43" s="20" t="n"/>
      <c r="Q43" s="20" t="n"/>
      <c r="R43" s="20" t="n"/>
      <c r="S43" s="22">
        <f>IF($D43="","",ROUND(N($N43)+N($O43)+N($P43)+N($Q43)+N($R43),2))</f>
        <v/>
      </c>
      <c r="T43" s="19" t="n">
        <v>46188</v>
      </c>
      <c r="U43" s="19" t="n"/>
      <c r="V43" s="23">
        <f>IF($D43="","",IF(OR($T43="",$U43=""),0,MAX(0,INT($U43)-INT($T43))))</f>
        <v/>
      </c>
      <c r="W43" s="22">
        <f>IF($D43="","",ROUND(MAX(0,N($J43)*日滞纳金率*N($V43)-N($R43)),2))</f>
        <v/>
      </c>
      <c r="X43" s="12" t="n"/>
      <c r="Y43" s="12" t="n"/>
      <c r="Z43" s="20" t="n"/>
      <c r="AA43" s="18">
        <f>IF($D43="","",IF(AND($C43&lt;&gt;"",ISNA(MATCH($C43,状态表,0))),"※状态不在【资料】里",IF(AND($G43&lt;&gt;"",$H43&lt;&gt;"",$H43&lt;$G43),"※到期日早于当票日期",IF(AND($F43&lt;&gt;"",COUNTIF($F$4:$F$123,$F43)&gt;1),"※当票号在本表里出现了不止一次",IF(AND(N($U43)&gt;0,N($T43)=0),"※填了实际付息日但没填应付息日","")))))</f>
        <v/>
      </c>
    </row>
    <row r="44">
      <c r="A44" s="18">
        <f>IF($D44="","",COUNTA($D$4:$D44))</f>
        <v/>
      </c>
      <c r="B44" s="12" t="inlineStr">
        <is>
          <t>不动产</t>
        </is>
      </c>
      <c r="C44" s="12" t="inlineStr">
        <is>
          <t>在当</t>
        </is>
      </c>
      <c r="D44" s="12" t="inlineStr">
        <is>
          <t>林浩</t>
        </is>
      </c>
      <c r="E44" s="12" t="inlineStr">
        <is>
          <t>13067317996</t>
        </is>
      </c>
      <c r="F44" s="12" t="inlineStr">
        <is>
          <t>3519260512</t>
        </is>
      </c>
      <c r="G44" s="19" t="n">
        <v>46037</v>
      </c>
      <c r="H44" s="19" t="n">
        <v>46096</v>
      </c>
      <c r="I44" s="19" t="n"/>
      <c r="J44" s="20" t="n">
        <v>100000</v>
      </c>
      <c r="K44" s="21" t="n">
        <v>0.025</v>
      </c>
      <c r="L44" s="20" t="n">
        <v>2500</v>
      </c>
      <c r="M44" s="20" t="n"/>
      <c r="N44" s="20" t="n"/>
      <c r="O44" s="20" t="n"/>
      <c r="P44" s="20" t="n"/>
      <c r="Q44" s="20" t="n"/>
      <c r="R44" s="20" t="n"/>
      <c r="S44" s="22">
        <f>IF($D44="","",ROUND(N($N44)+N($O44)+N($P44)+N($Q44)+N($R44),2))</f>
        <v/>
      </c>
      <c r="T44" s="19" t="n">
        <v>46280</v>
      </c>
      <c r="U44" s="19" t="n"/>
      <c r="V44" s="23">
        <f>IF($D44="","",IF(OR($T44="",$U44=""),0,MAX(0,INT($U44)-INT($T44))))</f>
        <v/>
      </c>
      <c r="W44" s="22">
        <f>IF($D44="","",ROUND(MAX(0,N($J44)*日滞纳金率*N($V44)-N($R44)),2))</f>
        <v/>
      </c>
      <c r="X44" s="12" t="n"/>
      <c r="Y44" s="12" t="n"/>
      <c r="Z44" s="20" t="n"/>
      <c r="AA44" s="18">
        <f>IF($D44="","",IF(AND($C44&lt;&gt;"",ISNA(MATCH($C44,状态表,0))),"※状态不在【资料】里",IF(AND($G44&lt;&gt;"",$H44&lt;&gt;"",$H44&lt;$G44),"※到期日早于当票日期",IF(AND($F44&lt;&gt;"",COUNTIF($F$4:$F$123,$F44)&gt;1),"※当票号在本表里出现了不止一次",IF(AND(N($U44)&gt;0,N($T44)=0),"※填了实际付息日但没填应付息日","")))))</f>
        <v/>
      </c>
    </row>
    <row r="45">
      <c r="A45" s="18">
        <f>IF($D45="","",COUNTA($D$4:$D45))</f>
        <v/>
      </c>
      <c r="B45" s="12" t="inlineStr">
        <is>
          <t>动产</t>
        </is>
      </c>
      <c r="C45" s="12" t="inlineStr">
        <is>
          <t>虚当</t>
        </is>
      </c>
      <c r="D45" s="12" t="inlineStr">
        <is>
          <t>陈乐贵</t>
        </is>
      </c>
      <c r="E45" s="12" t="n"/>
      <c r="F45" s="12" t="inlineStr">
        <is>
          <t>3519260516</t>
        </is>
      </c>
      <c r="G45" s="19" t="n">
        <v>46059</v>
      </c>
      <c r="H45" s="19" t="n"/>
      <c r="I45" s="19" t="n">
        <v>45484</v>
      </c>
      <c r="J45" s="20" t="n">
        <v>500000</v>
      </c>
      <c r="K45" s="21" t="n">
        <v>0.005</v>
      </c>
      <c r="L45" s="20" t="n"/>
      <c r="M45" s="20" t="n"/>
      <c r="N45" s="20" t="n"/>
      <c r="O45" s="20" t="n"/>
      <c r="P45" s="20" t="n"/>
      <c r="Q45" s="20" t="n"/>
      <c r="R45" s="20" t="n"/>
      <c r="S45" s="22">
        <f>IF($D45="","",ROUND(N($N45)+N($O45)+N($P45)+N($Q45)+N($R45),2))</f>
        <v/>
      </c>
      <c r="T45" s="19" t="n">
        <v>46059</v>
      </c>
      <c r="U45" s="19" t="n"/>
      <c r="V45" s="23">
        <f>IF($D45="","",IF(OR($T45="",$U45=""),0,MAX(0,INT($U45)-INT($T45))))</f>
        <v/>
      </c>
      <c r="W45" s="22">
        <f>IF($D45="","",ROUND(MAX(0,N($J45)*日滞纳金率*N($V45)-N($R45)),2))</f>
        <v/>
      </c>
      <c r="X45" s="12" t="inlineStr">
        <is>
          <t>后息</t>
        </is>
      </c>
      <c r="Y45" s="12" t="n"/>
      <c r="Z45" s="20" t="n"/>
      <c r="AA45" s="18">
        <f>IF($D45="","",IF(AND($C45&lt;&gt;"",ISNA(MATCH($C45,状态表,0))),"※状态不在【资料】里",IF(AND($G45&lt;&gt;"",$H45&lt;&gt;"",$H45&lt;$G45),"※到期日早于当票日期",IF(AND($F45&lt;&gt;"",COUNTIF($F$4:$F$123,$F45)&gt;1),"※当票号在本表里出现了不止一次",IF(AND(N($U45)&gt;0,N($T45)=0),"※填了实际付息日但没填应付息日","")))))</f>
        <v/>
      </c>
    </row>
    <row r="46">
      <c r="A46" s="18">
        <f>IF($D46="","",COUNTA($D$4:$D46))</f>
        <v/>
      </c>
      <c r="B46" s="12" t="inlineStr">
        <is>
          <t>不动产</t>
        </is>
      </c>
      <c r="C46" s="12" t="inlineStr">
        <is>
          <t>在当</t>
        </is>
      </c>
      <c r="D46" s="12" t="inlineStr">
        <is>
          <t>马昱</t>
        </is>
      </c>
      <c r="E46" s="12" t="inlineStr">
        <is>
          <t>13515003389</t>
        </is>
      </c>
      <c r="F46" s="12" t="inlineStr">
        <is>
          <t>3519260517</t>
        </is>
      </c>
      <c r="G46" s="19" t="n">
        <v>46066</v>
      </c>
      <c r="H46" s="19" t="n">
        <v>46244</v>
      </c>
      <c r="I46" s="19" t="n"/>
      <c r="J46" s="20" t="n">
        <v>500000</v>
      </c>
      <c r="K46" s="21" t="n">
        <v>0.025</v>
      </c>
      <c r="L46" s="20" t="n">
        <v>12500</v>
      </c>
      <c r="M46" s="20" t="n"/>
      <c r="N46" s="20" t="n"/>
      <c r="O46" s="20" t="n"/>
      <c r="P46" s="20" t="n"/>
      <c r="Q46" s="20" t="n"/>
      <c r="R46" s="20" t="n"/>
      <c r="S46" s="22">
        <f>IF($D46="","",ROUND(N($N46)+N($O46)+N($P46)+N($Q46)+N($R46),2))</f>
        <v/>
      </c>
      <c r="T46" s="19" t="n">
        <v>46278</v>
      </c>
      <c r="U46" s="19" t="n"/>
      <c r="V46" s="23">
        <f>IF($D46="","",IF(OR($T46="",$U46=""),0,MAX(0,INT($U46)-INT($T46))))</f>
        <v/>
      </c>
      <c r="W46" s="22">
        <f>IF($D46="","",ROUND(MAX(0,N($J46)*日滞纳金率*N($V46)-N($R46)),2))</f>
        <v/>
      </c>
      <c r="X46" s="12" t="n"/>
      <c r="Y46" s="12" t="n"/>
      <c r="Z46" s="20" t="n"/>
      <c r="AA46" s="18">
        <f>IF($D46="","",IF(AND($C46&lt;&gt;"",ISNA(MATCH($C46,状态表,0))),"※状态不在【资料】里",IF(AND($G46&lt;&gt;"",$H46&lt;&gt;"",$H46&lt;$G46),"※到期日早于当票日期",IF(AND($F46&lt;&gt;"",COUNTIF($F$4:$F$123,$F46)&gt;1),"※当票号在本表里出现了不止一次",IF(AND(N($U46)&gt;0,N($T46)=0),"※填了实际付息日但没填应付息日","")))))</f>
        <v/>
      </c>
    </row>
    <row r="47">
      <c r="A47" s="18">
        <f>IF($D47="","",COUNTA($D$4:$D47))</f>
        <v/>
      </c>
      <c r="B47" s="12" t="inlineStr">
        <is>
          <t>名品</t>
        </is>
      </c>
      <c r="C47" s="12" t="inlineStr">
        <is>
          <t>虚当</t>
        </is>
      </c>
      <c r="D47" s="12" t="inlineStr">
        <is>
          <t>胡建通</t>
        </is>
      </c>
      <c r="E47" s="12" t="inlineStr">
        <is>
          <t>13805082625</t>
        </is>
      </c>
      <c r="F47" s="12" t="inlineStr">
        <is>
          <t>3519260519</t>
        </is>
      </c>
      <c r="G47" s="19" t="n">
        <v>46097</v>
      </c>
      <c r="H47" s="19" t="n"/>
      <c r="I47" s="19" t="n"/>
      <c r="J47" s="20" t="n">
        <v>330000</v>
      </c>
      <c r="K47" s="21" t="n">
        <v>0.0007</v>
      </c>
      <c r="L47" s="20" t="n">
        <v>231</v>
      </c>
      <c r="M47" s="20" t="n"/>
      <c r="N47" s="20" t="n"/>
      <c r="O47" s="20" t="n"/>
      <c r="P47" s="20" t="n"/>
      <c r="Q47" s="20" t="n"/>
      <c r="R47" s="20" t="n"/>
      <c r="S47" s="22">
        <f>IF($D47="","",ROUND(N($N47)+N($O47)+N($P47)+N($Q47)+N($R47),2))</f>
        <v/>
      </c>
      <c r="T47" s="19" t="n">
        <v>46097</v>
      </c>
      <c r="U47" s="19" t="n"/>
      <c r="V47" s="23">
        <f>IF($D47="","",IF(OR($T47="",$U47=""),0,MAX(0,INT($U47)-INT($T47))))</f>
        <v/>
      </c>
      <c r="W47" s="22">
        <f>IF($D47="","",ROUND(MAX(0,N($J47)*日滞纳金率*N($V47)-N($R47)),2))</f>
        <v/>
      </c>
      <c r="X47" s="12" t="n"/>
      <c r="Y47" s="12" t="n"/>
      <c r="Z47" s="20" t="n"/>
      <c r="AA47" s="18">
        <f>IF($D47="","",IF(AND($C47&lt;&gt;"",ISNA(MATCH($C47,状态表,0))),"※状态不在【资料】里",IF(AND($G47&lt;&gt;"",$H47&lt;&gt;"",$H47&lt;$G47),"※到期日早于当票日期",IF(AND($F47&lt;&gt;"",COUNTIF($F$4:$F$123,$F47)&gt;1),"※当票号在本表里出现了不止一次",IF(AND(N($U47)&gt;0,N($T47)=0),"※填了实际付息日但没填应付息日","")))))</f>
        <v/>
      </c>
    </row>
    <row r="48">
      <c r="A48" s="18">
        <f>IF($D48="","",COUNTA($D$4:$D48))</f>
        <v/>
      </c>
      <c r="B48" s="12" t="inlineStr">
        <is>
          <t>黄金</t>
        </is>
      </c>
      <c r="C48" s="12" t="inlineStr">
        <is>
          <t>在当</t>
        </is>
      </c>
      <c r="D48" s="12" t="inlineStr">
        <is>
          <t>廖浴波</t>
        </is>
      </c>
      <c r="E48" s="12" t="inlineStr">
        <is>
          <t>13960987280</t>
        </is>
      </c>
      <c r="F48" s="12" t="inlineStr">
        <is>
          <t>3519260520</t>
        </is>
      </c>
      <c r="G48" s="19" t="n">
        <v>46099</v>
      </c>
      <c r="H48" s="19" t="n">
        <v>46278</v>
      </c>
      <c r="I48" s="19" t="n"/>
      <c r="J48" s="20" t="n">
        <v>35000</v>
      </c>
      <c r="K48" s="21" t="n">
        <v>0.003</v>
      </c>
      <c r="L48" s="20" t="n">
        <v>800</v>
      </c>
      <c r="M48" s="20" t="n"/>
      <c r="N48" s="20" t="n">
        <v>105</v>
      </c>
      <c r="O48" s="20" t="n"/>
      <c r="P48" s="20" t="n"/>
      <c r="Q48" s="20" t="n"/>
      <c r="R48" s="20" t="n"/>
      <c r="S48" s="22">
        <f>IF($D48="","",ROUND(N($N48)+N($O48)+N($P48)+N($Q48)+N($R48),2))</f>
        <v/>
      </c>
      <c r="T48" s="19" t="n">
        <v>46282</v>
      </c>
      <c r="U48" s="19" t="n"/>
      <c r="V48" s="23">
        <f>IF($D48="","",IF(OR($T48="",$U48=""),0,MAX(0,INT($U48)-INT($T48))))</f>
        <v/>
      </c>
      <c r="W48" s="22">
        <f>IF($D48="","",ROUND(MAX(0,N($J48)*日滞纳金率*N($V48)-N($R48)),2))</f>
        <v/>
      </c>
      <c r="X48" s="12" t="n"/>
      <c r="Y48" s="12" t="n"/>
      <c r="Z48" s="20" t="n"/>
      <c r="AA48" s="18">
        <f>IF($D48="","",IF(AND($C48&lt;&gt;"",ISNA(MATCH($C48,状态表,0))),"※状态不在【资料】里",IF(AND($G48&lt;&gt;"",$H48&lt;&gt;"",$H48&lt;$G48),"※到期日早于当票日期",IF(AND($F48&lt;&gt;"",COUNTIF($F$4:$F$123,$F48)&gt;1),"※当票号在本表里出现了不止一次",IF(AND(N($U48)&gt;0,N($T48)=0),"※填了实际付息日但没填应付息日","")))))</f>
        <v/>
      </c>
    </row>
    <row r="49">
      <c r="A49" s="18">
        <f>IF($D49="","",COUNTA($D$4:$D49))</f>
        <v/>
      </c>
      <c r="B49" s="12" t="inlineStr">
        <is>
          <t>不动产</t>
        </is>
      </c>
      <c r="C49" s="12" t="inlineStr">
        <is>
          <t>在当</t>
        </is>
      </c>
      <c r="D49" s="12" t="inlineStr">
        <is>
          <t>林鹏</t>
        </is>
      </c>
      <c r="E49" s="12" t="inlineStr">
        <is>
          <t>15005914264</t>
        </is>
      </c>
      <c r="F49" s="12" t="inlineStr">
        <is>
          <t>3519260522</t>
        </is>
      </c>
      <c r="G49" s="19" t="n">
        <v>46111</v>
      </c>
      <c r="H49" s="19" t="n">
        <v>46290</v>
      </c>
      <c r="I49" s="19" t="n"/>
      <c r="J49" s="20" t="n">
        <v>100000</v>
      </c>
      <c r="K49" s="21" t="n">
        <v>0.02</v>
      </c>
      <c r="L49" s="20" t="n">
        <v>2000</v>
      </c>
      <c r="M49" s="20" t="n"/>
      <c r="N49" s="20" t="n"/>
      <c r="O49" s="20" t="n"/>
      <c r="P49" s="20" t="n"/>
      <c r="Q49" s="20" t="n"/>
      <c r="R49" s="20" t="n"/>
      <c r="S49" s="22">
        <f>IF($D49="","",ROUND(N($N49)+N($O49)+N($P49)+N($Q49)+N($R49),2))</f>
        <v/>
      </c>
      <c r="T49" s="19" t="n">
        <v>46294</v>
      </c>
      <c r="U49" s="19" t="n"/>
      <c r="V49" s="23">
        <f>IF($D49="","",IF(OR($T49="",$U49=""),0,MAX(0,INT($U49)-INT($T49))))</f>
        <v/>
      </c>
      <c r="W49" s="22">
        <f>IF($D49="","",ROUND(MAX(0,N($J49)*日滞纳金率*N($V49)-N($R49)),2))</f>
        <v/>
      </c>
      <c r="X49" s="12" t="n"/>
      <c r="Y49" s="12" t="n"/>
      <c r="Z49" s="20" t="n"/>
      <c r="AA49" s="18">
        <f>IF($D49="","",IF(AND($C49&lt;&gt;"",ISNA(MATCH($C49,状态表,0))),"※状态不在【资料】里",IF(AND($G49&lt;&gt;"",$H49&lt;&gt;"",$H49&lt;$G49),"※到期日早于当票日期",IF(AND($F49&lt;&gt;"",COUNTIF($F$4:$F$123,$F49)&gt;1),"※当票号在本表里出现了不止一次",IF(AND(N($U49)&gt;0,N($T49)=0),"※填了实际付息日但没填应付息日","")))))</f>
        <v/>
      </c>
    </row>
    <row r="50">
      <c r="A50" s="18">
        <f>IF($D50="","",COUNTA($D$4:$D50))</f>
        <v/>
      </c>
      <c r="B50" s="12" t="inlineStr">
        <is>
          <t>不动产</t>
        </is>
      </c>
      <c r="C50" s="12" t="inlineStr">
        <is>
          <t>在当</t>
        </is>
      </c>
      <c r="D50" s="12" t="inlineStr">
        <is>
          <t>林鹏</t>
        </is>
      </c>
      <c r="E50" s="12" t="inlineStr">
        <is>
          <t>18805023484</t>
        </is>
      </c>
      <c r="F50" s="12" t="inlineStr">
        <is>
          <t>3524019227</t>
        </is>
      </c>
      <c r="G50" s="19" t="n">
        <v>46163</v>
      </c>
      <c r="H50" s="19" t="n">
        <v>46252</v>
      </c>
      <c r="I50" s="19" t="n"/>
      <c r="J50" s="20" t="n">
        <v>50000</v>
      </c>
      <c r="K50" s="21" t="n">
        <v>0.02</v>
      </c>
      <c r="L50" s="20" t="n">
        <v>1000</v>
      </c>
      <c r="M50" s="20" t="n"/>
      <c r="N50" s="20" t="n"/>
      <c r="O50" s="20" t="n"/>
      <c r="P50" s="20" t="n"/>
      <c r="Q50" s="20" t="n"/>
      <c r="R50" s="20" t="n"/>
      <c r="S50" s="22">
        <f>IF($D50="","",ROUND(N($N50)+N($O50)+N($P50)+N($Q50)+N($R50),2))</f>
        <v/>
      </c>
      <c r="T50" s="19" t="n">
        <v>46285</v>
      </c>
      <c r="U50" s="19" t="n"/>
      <c r="V50" s="23">
        <f>IF($D50="","",IF(OR($T50="",$U50=""),0,MAX(0,INT($U50)-INT($T50))))</f>
        <v/>
      </c>
      <c r="W50" s="22">
        <f>IF($D50="","",ROUND(MAX(0,N($J50)*日滞纳金率*N($V50)-N($R50)),2))</f>
        <v/>
      </c>
      <c r="X50" s="12" t="n"/>
      <c r="Y50" s="12" t="n"/>
      <c r="Z50" s="20" t="n"/>
      <c r="AA50" s="18">
        <f>IF($D50="","",IF(AND($C50&lt;&gt;"",ISNA(MATCH($C50,状态表,0))),"※状态不在【资料】里",IF(AND($G50&lt;&gt;"",$H50&lt;&gt;"",$H50&lt;$G50),"※到期日早于当票日期",IF(AND($F50&lt;&gt;"",COUNTIF($F$4:$F$123,$F50)&gt;1),"※当票号在本表里出现了不止一次",IF(AND(N($U50)&gt;0,N($T50)=0),"※填了实际付息日但没填应付息日","")))))</f>
        <v/>
      </c>
    </row>
    <row r="51">
      <c r="A51" s="18">
        <f>IF($D51="","",COUNTA($D$4:$D51))</f>
        <v/>
      </c>
      <c r="B51" s="12" t="inlineStr">
        <is>
          <t>不动产</t>
        </is>
      </c>
      <c r="C51" s="12" t="inlineStr">
        <is>
          <t>结款未赎</t>
        </is>
      </c>
      <c r="D51" s="12" t="inlineStr">
        <is>
          <t>郑祥波</t>
        </is>
      </c>
      <c r="E51" s="12" t="inlineStr">
        <is>
          <t>13850175177</t>
        </is>
      </c>
      <c r="F51" s="12" t="inlineStr">
        <is>
          <t>3519260523</t>
        </is>
      </c>
      <c r="G51" s="19" t="n">
        <v>46149</v>
      </c>
      <c r="H51" s="19" t="n">
        <v>46238</v>
      </c>
      <c r="I51" s="19" t="n"/>
      <c r="J51" s="20" t="n">
        <v>20000</v>
      </c>
      <c r="K51" s="21" t="n">
        <v>0.025</v>
      </c>
      <c r="L51" s="20" t="n">
        <v>500</v>
      </c>
      <c r="M51" s="20" t="n"/>
      <c r="N51" s="20" t="n"/>
      <c r="O51" s="20" t="n"/>
      <c r="P51" s="20" t="n"/>
      <c r="Q51" s="20" t="n"/>
      <c r="R51" s="20" t="n"/>
      <c r="S51" s="22">
        <f>IF($D51="","",ROUND(N($N51)+N($O51)+N($P51)+N($Q51)+N($R51),2))</f>
        <v/>
      </c>
      <c r="T51" s="19" t="n">
        <v>46149</v>
      </c>
      <c r="U51" s="19" t="n"/>
      <c r="V51" s="23">
        <f>IF($D51="","",IF(OR($T51="",$U51=""),0,MAX(0,INT($U51)-INT($T51))))</f>
        <v/>
      </c>
      <c r="W51" s="22">
        <f>IF($D51="","",ROUND(MAX(0,N($J51)*日滞纳金率*N($V51)-N($R51)),2))</f>
        <v/>
      </c>
      <c r="X51" s="12" t="n"/>
      <c r="Y51" s="12" t="n"/>
      <c r="Z51" s="20" t="n"/>
      <c r="AA51" s="18">
        <f>IF($D51="","",IF(AND($C51&lt;&gt;"",ISNA(MATCH($C51,状态表,0))),"※状态不在【资料】里",IF(AND($G51&lt;&gt;"",$H51&lt;&gt;"",$H51&lt;$G51),"※到期日早于当票日期",IF(AND($F51&lt;&gt;"",COUNTIF($F$4:$F$123,$F51)&gt;1),"※当票号在本表里出现了不止一次",IF(AND(N($U51)&gt;0,N($T51)=0),"※填了实际付息日但没填应付息日","")))))</f>
        <v/>
      </c>
    </row>
    <row r="52">
      <c r="A52" s="18">
        <f>IF($D52="","",COUNTA($D$4:$D52))</f>
        <v/>
      </c>
      <c r="B52" s="12" t="inlineStr">
        <is>
          <t>包包</t>
        </is>
      </c>
      <c r="C52" s="12" t="inlineStr">
        <is>
          <t>在当</t>
        </is>
      </c>
      <c r="D52" s="12" t="inlineStr">
        <is>
          <t>魏洁</t>
        </is>
      </c>
      <c r="E52" s="12" t="inlineStr">
        <is>
          <t>13306046018</t>
        </is>
      </c>
      <c r="F52" s="12" t="inlineStr">
        <is>
          <t>3519260525</t>
        </is>
      </c>
      <c r="G52" s="19" t="n">
        <v>46156</v>
      </c>
      <c r="H52" s="19" t="n">
        <v>46185</v>
      </c>
      <c r="I52" s="19" t="n"/>
      <c r="J52" s="20" t="n">
        <v>100000</v>
      </c>
      <c r="K52" s="21" t="n">
        <v>0.005</v>
      </c>
      <c r="L52" s="20" t="n">
        <v>3000</v>
      </c>
      <c r="M52" s="20" t="n"/>
      <c r="N52" s="20" t="n">
        <v>500</v>
      </c>
      <c r="O52" s="20" t="n"/>
      <c r="P52" s="20" t="n"/>
      <c r="Q52" s="20" t="n"/>
      <c r="R52" s="20" t="n"/>
      <c r="S52" s="22">
        <f>IF($D52="","",ROUND(N($N52)+N($O52)+N($P52)+N($Q52)+N($R52),2))</f>
        <v/>
      </c>
      <c r="T52" s="19" t="n">
        <v>46277</v>
      </c>
      <c r="U52" s="19" t="n"/>
      <c r="V52" s="23">
        <f>IF($D52="","",IF(OR($T52="",$U52=""),0,MAX(0,INT($U52)-INT($T52))))</f>
        <v/>
      </c>
      <c r="W52" s="22">
        <f>IF($D52="","",ROUND(MAX(0,N($J52)*日滞纳金率*N($V52)-N($R52)),2))</f>
        <v/>
      </c>
      <c r="X52" s="12" t="n"/>
      <c r="Y52" s="12" t="n"/>
      <c r="Z52" s="20" t="n"/>
      <c r="AA52" s="18">
        <f>IF($D52="","",IF(AND($C52&lt;&gt;"",ISNA(MATCH($C52,状态表,0))),"※状态不在【资料】里",IF(AND($G52&lt;&gt;"",$H52&lt;&gt;"",$H52&lt;$G52),"※到期日早于当票日期",IF(AND($F52&lt;&gt;"",COUNTIF($F$4:$F$123,$F52)&gt;1),"※当票号在本表里出现了不止一次",IF(AND(N($U52)&gt;0,N($T52)=0),"※填了实际付息日但没填应付息日","")))))</f>
        <v/>
      </c>
    </row>
    <row r="53">
      <c r="A53" s="18">
        <f>IF($D53="","",COUNTA($D$4:$D53))</f>
        <v/>
      </c>
      <c r="B53" s="12" t="inlineStr">
        <is>
          <t>车子</t>
        </is>
      </c>
      <c r="C53" s="12" t="inlineStr">
        <is>
          <t>在当</t>
        </is>
      </c>
      <c r="D53" s="12" t="inlineStr">
        <is>
          <t>陈忠军</t>
        </is>
      </c>
      <c r="E53" s="12" t="inlineStr">
        <is>
          <t>18105915567</t>
        </is>
      </c>
      <c r="F53" s="12" t="inlineStr">
        <is>
          <t>3524019226</t>
        </is>
      </c>
      <c r="G53" s="19" t="n">
        <v>46160</v>
      </c>
      <c r="H53" s="19" t="n">
        <v>46219</v>
      </c>
      <c r="I53" s="19" t="n"/>
      <c r="J53" s="20" t="n">
        <v>93000</v>
      </c>
      <c r="K53" s="21" t="n">
        <v>0.005</v>
      </c>
      <c r="L53" s="20" t="n">
        <v>2875</v>
      </c>
      <c r="M53" s="20" t="n"/>
      <c r="N53" s="20" t="n">
        <v>465</v>
      </c>
      <c r="O53" s="20" t="n"/>
      <c r="P53" s="20" t="n"/>
      <c r="Q53" s="20" t="n"/>
      <c r="R53" s="20" t="n"/>
      <c r="S53" s="22">
        <f>IF($D53="","",ROUND(N($N53)+N($O53)+N($P53)+N($Q53)+N($R53),2))</f>
        <v/>
      </c>
      <c r="T53" s="19" t="n">
        <v>46282</v>
      </c>
      <c r="U53" s="19" t="n"/>
      <c r="V53" s="23">
        <f>IF($D53="","",IF(OR($T53="",$U53=""),0,MAX(0,INT($U53)-INT($T53))))</f>
        <v/>
      </c>
      <c r="W53" s="22">
        <f>IF($D53="","",ROUND(MAX(0,N($J53)*日滞纳金率*N($V53)-N($R53)),2))</f>
        <v/>
      </c>
      <c r="X53" s="12" t="n"/>
      <c r="Y53" s="12" t="n"/>
      <c r="Z53" s="20" t="n"/>
      <c r="AA53" s="18">
        <f>IF($D53="","",IF(AND($C53&lt;&gt;"",ISNA(MATCH($C53,状态表,0))),"※状态不在【资料】里",IF(AND($G53&lt;&gt;"",$H53&lt;&gt;"",$H53&lt;$G53),"※到期日早于当票日期",IF(AND($F53&lt;&gt;"",COUNTIF($F$4:$F$123,$F53)&gt;1),"※当票号在本表里出现了不止一次",IF(AND(N($U53)&gt;0,N($T53)=0),"※填了实际付息日但没填应付息日","")))))</f>
        <v/>
      </c>
    </row>
    <row r="54">
      <c r="A54" s="18">
        <f>IF($D54="","",COUNTA($D$4:$D54))</f>
        <v/>
      </c>
      <c r="B54" s="12" t="inlineStr">
        <is>
          <t>名品</t>
        </is>
      </c>
      <c r="C54" s="12" t="inlineStr">
        <is>
          <t>虚当</t>
        </is>
      </c>
      <c r="D54" s="12" t="inlineStr">
        <is>
          <t>柯志宏</t>
        </is>
      </c>
      <c r="E54" s="12" t="inlineStr">
        <is>
          <t>15060433337</t>
        </is>
      </c>
      <c r="F54" s="12" t="n"/>
      <c r="G54" s="19" t="n">
        <v>46168</v>
      </c>
      <c r="H54" s="19" t="n">
        <v>46183</v>
      </c>
      <c r="I54" s="19" t="n"/>
      <c r="J54" s="20" t="n">
        <v>300000</v>
      </c>
      <c r="K54" s="21" t="n">
        <v>0.004</v>
      </c>
      <c r="L54" s="20" t="n">
        <v>1200</v>
      </c>
      <c r="M54" s="20" t="n"/>
      <c r="N54" s="20" t="n"/>
      <c r="O54" s="20" t="n"/>
      <c r="P54" s="20" t="n"/>
      <c r="Q54" s="20" t="n"/>
      <c r="R54" s="20" t="n"/>
      <c r="S54" s="22">
        <f>IF($D54="","",ROUND(N($N54)+N($O54)+N($P54)+N($Q54)+N($R54),2))</f>
        <v/>
      </c>
      <c r="T54" s="19" t="n">
        <v>46168</v>
      </c>
      <c r="U54" s="19" t="n"/>
      <c r="V54" s="23">
        <f>IF($D54="","",IF(OR($T54="",$U54=""),0,MAX(0,INT($U54)-INT($T54))))</f>
        <v/>
      </c>
      <c r="W54" s="22">
        <f>IF($D54="","",ROUND(MAX(0,N($J54)*日滞纳金率*N($V54)-N($R54)),2))</f>
        <v/>
      </c>
      <c r="X54" s="12" t="n"/>
      <c r="Y54" s="12" t="n"/>
      <c r="Z54" s="20" t="n"/>
      <c r="AA54" s="18">
        <f>IF($D54="","",IF(AND($C54&lt;&gt;"",ISNA(MATCH($C54,状态表,0))),"※状态不在【资料】里",IF(AND($G54&lt;&gt;"",$H54&lt;&gt;"",$H54&lt;$G54),"※到期日早于当票日期",IF(AND($F54&lt;&gt;"",COUNTIF($F$4:$F$123,$F54)&gt;1),"※当票号在本表里出现了不止一次",IF(AND(N($U54)&gt;0,N($T54)=0),"※填了实际付息日但没填应付息日","")))))</f>
        <v/>
      </c>
    </row>
    <row r="55">
      <c r="A55" s="18">
        <f>IF($D55="","",COUNTA($D$4:$D55))</f>
        <v/>
      </c>
      <c r="B55" s="12" t="inlineStr">
        <is>
          <t>黄金</t>
        </is>
      </c>
      <c r="C55" s="12" t="inlineStr">
        <is>
          <t>在当</t>
        </is>
      </c>
      <c r="D55" s="12" t="inlineStr">
        <is>
          <t>叶敏</t>
        </is>
      </c>
      <c r="E55" s="12" t="inlineStr">
        <is>
          <t>13003800159</t>
        </is>
      </c>
      <c r="F55" s="12" t="inlineStr">
        <is>
          <t>3524019231</t>
        </is>
      </c>
      <c r="G55" s="19" t="n">
        <v>46174</v>
      </c>
      <c r="H55" s="19" t="n">
        <v>46353</v>
      </c>
      <c r="I55" s="19" t="n"/>
      <c r="J55" s="20" t="n">
        <v>208000</v>
      </c>
      <c r="K55" s="21" t="n">
        <v>0.0045</v>
      </c>
      <c r="L55" s="20" t="n">
        <v>5200</v>
      </c>
      <c r="M55" s="20" t="n"/>
      <c r="N55" s="20" t="n">
        <v>936</v>
      </c>
      <c r="O55" s="20" t="n"/>
      <c r="P55" s="20" t="n"/>
      <c r="Q55" s="20" t="n"/>
      <c r="R55" s="20" t="n"/>
      <c r="S55" s="22">
        <f>IF($D55="","",ROUND(N($N55)+N($O55)+N($P55)+N($Q55)+N($R55),2))</f>
        <v/>
      </c>
      <c r="T55" s="19" t="n">
        <v>46295</v>
      </c>
      <c r="U55" s="19" t="n"/>
      <c r="V55" s="23">
        <f>IF($D55="","",IF(OR($T55="",$U55=""),0,MAX(0,INT($U55)-INT($T55))))</f>
        <v/>
      </c>
      <c r="W55" s="22">
        <f>IF($D55="","",ROUND(MAX(0,N($J55)*日滞纳金率*N($V55)-N($R55)),2))</f>
        <v/>
      </c>
      <c r="X55" s="12" t="n"/>
      <c r="Y55" s="12" t="n"/>
      <c r="Z55" s="20" t="n"/>
      <c r="AA55" s="18">
        <f>IF($D55="","",IF(AND($C55&lt;&gt;"",ISNA(MATCH($C55,状态表,0))),"※状态不在【资料】里",IF(AND($G55&lt;&gt;"",$H55&lt;&gt;"",$H55&lt;$G55),"※到期日早于当票日期",IF(AND($F55&lt;&gt;"",COUNTIF($F$4:$F$123,$F55)&gt;1),"※当票号在本表里出现了不止一次",IF(AND(N($U55)&gt;0,N($T55)=0),"※填了实际付息日但没填应付息日","")))))</f>
        <v/>
      </c>
    </row>
    <row r="56">
      <c r="A56" s="18">
        <f>IF($D56="","",COUNTA($D$4:$D56))</f>
        <v/>
      </c>
      <c r="B56" s="12" t="inlineStr">
        <is>
          <t>不动产</t>
        </is>
      </c>
      <c r="C56" s="12" t="inlineStr">
        <is>
          <t>在当</t>
        </is>
      </c>
      <c r="D56" s="12" t="inlineStr">
        <is>
          <t>陈建华</t>
        </is>
      </c>
      <c r="E56" s="12" t="inlineStr">
        <is>
          <t>13609595117</t>
        </is>
      </c>
      <c r="F56" s="12" t="inlineStr">
        <is>
          <t>3524019230</t>
        </is>
      </c>
      <c r="G56" s="19" t="n">
        <v>46173</v>
      </c>
      <c r="H56" s="19" t="n">
        <v>46202</v>
      </c>
      <c r="I56" s="19" t="n"/>
      <c r="J56" s="20" t="n">
        <v>200000</v>
      </c>
      <c r="K56" s="21" t="n">
        <v>0.025</v>
      </c>
      <c r="L56" s="20" t="n">
        <v>5000</v>
      </c>
      <c r="M56" s="20" t="n"/>
      <c r="N56" s="20" t="n"/>
      <c r="O56" s="20" t="n"/>
      <c r="P56" s="20" t="n"/>
      <c r="Q56" s="20" t="n"/>
      <c r="R56" s="20" t="n"/>
      <c r="S56" s="22">
        <f>IF($D56="","",ROUND(N($N56)+N($O56)+N($P56)+N($Q56)+N($R56),2))</f>
        <v/>
      </c>
      <c r="T56" s="19" t="n">
        <v>46266</v>
      </c>
      <c r="U56" s="19" t="n">
        <v>46266</v>
      </c>
      <c r="V56" s="23">
        <f>IF($D56="","",IF(OR($T56="",$U56=""),0,MAX(0,INT($U56)-INT($T56))))</f>
        <v/>
      </c>
      <c r="W56" s="22">
        <f>IF($D56="","",ROUND(MAX(0,N($J56)*日滞纳金率*N($V56)-N($R56)),2))</f>
        <v/>
      </c>
      <c r="X56" s="12" t="n"/>
      <c r="Y56" s="12" t="n"/>
      <c r="Z56" s="20" t="n"/>
      <c r="AA56" s="18">
        <f>IF($D56="","",IF(AND($C56&lt;&gt;"",ISNA(MATCH($C56,状态表,0))),"※状态不在【资料】里",IF(AND($G56&lt;&gt;"",$H56&lt;&gt;"",$H56&lt;$G56),"※到期日早于当票日期",IF(AND($F56&lt;&gt;"",COUNTIF($F$4:$F$123,$F56)&gt;1),"※当票号在本表里出现了不止一次",IF(AND(N($U56)&gt;0,N($T56)=0),"※填了实际付息日但没填应付息日","")))))</f>
        <v/>
      </c>
    </row>
    <row r="57">
      <c r="A57" s="18">
        <f>IF($D57="","",COUNTA($D$4:$D57))</f>
        <v/>
      </c>
      <c r="B57" s="12" t="inlineStr">
        <is>
          <t>黄金</t>
        </is>
      </c>
      <c r="C57" s="12" t="inlineStr">
        <is>
          <t>虚当</t>
        </is>
      </c>
      <c r="D57" s="12" t="inlineStr">
        <is>
          <t>魏文冬</t>
        </is>
      </c>
      <c r="E57" s="12" t="inlineStr">
        <is>
          <t>15159647120</t>
        </is>
      </c>
      <c r="F57" s="12" t="inlineStr">
        <is>
          <t>3524019232</t>
        </is>
      </c>
      <c r="G57" s="19" t="n">
        <v>46182</v>
      </c>
      <c r="H57" s="19" t="n">
        <v>46211</v>
      </c>
      <c r="I57" s="19" t="n"/>
      <c r="J57" s="20" t="n">
        <v>350000</v>
      </c>
      <c r="K57" s="21" t="n">
        <v>0.001</v>
      </c>
      <c r="L57" s="20" t="n">
        <v>350</v>
      </c>
      <c r="M57" s="20" t="n"/>
      <c r="N57" s="20" t="n"/>
      <c r="O57" s="20" t="n"/>
      <c r="P57" s="20" t="n"/>
      <c r="Q57" s="20" t="n"/>
      <c r="R57" s="20" t="n"/>
      <c r="S57" s="22">
        <f>IF($D57="","",ROUND(N($N57)+N($O57)+N($P57)+N($Q57)+N($R57),2))</f>
        <v/>
      </c>
      <c r="T57" s="19" t="n">
        <v>46182</v>
      </c>
      <c r="U57" s="19" t="n"/>
      <c r="V57" s="23">
        <f>IF($D57="","",IF(OR($T57="",$U57=""),0,MAX(0,INT($U57)-INT($T57))))</f>
        <v/>
      </c>
      <c r="W57" s="22">
        <f>IF($D57="","",ROUND(MAX(0,N($J57)*日滞纳金率*N($V57)-N($R57)),2))</f>
        <v/>
      </c>
      <c r="X57" s="12" t="n"/>
      <c r="Y57" s="12" t="n"/>
      <c r="Z57" s="20" t="n"/>
      <c r="AA57" s="18">
        <f>IF($D57="","",IF(AND($C57&lt;&gt;"",ISNA(MATCH($C57,状态表,0))),"※状态不在【资料】里",IF(AND($G57&lt;&gt;"",$H57&lt;&gt;"",$H57&lt;$G57),"※到期日早于当票日期",IF(AND($F57&lt;&gt;"",COUNTIF($F$4:$F$123,$F57)&gt;1),"※当票号在本表里出现了不止一次",IF(AND(N($U57)&gt;0,N($T57)=0),"※填了实际付息日但没填应付息日","")))))</f>
        <v/>
      </c>
    </row>
    <row r="58">
      <c r="A58" s="18">
        <f>IF($D58="","",COUNTA($D$4:$D58))</f>
        <v/>
      </c>
      <c r="B58" s="12" t="inlineStr">
        <is>
          <t>黄金</t>
        </is>
      </c>
      <c r="C58" s="12" t="inlineStr">
        <is>
          <t>在当</t>
        </is>
      </c>
      <c r="D58" s="12" t="inlineStr">
        <is>
          <t>何博文</t>
        </is>
      </c>
      <c r="E58" s="12" t="inlineStr">
        <is>
          <t>13763816036</t>
        </is>
      </c>
      <c r="F58" s="12" t="inlineStr">
        <is>
          <t>3524019233</t>
        </is>
      </c>
      <c r="G58" s="19" t="n">
        <v>46183</v>
      </c>
      <c r="H58" s="19" t="n">
        <v>46362</v>
      </c>
      <c r="I58" s="19" t="n"/>
      <c r="J58" s="20" t="n">
        <v>18000</v>
      </c>
      <c r="K58" s="21" t="n">
        <v>0.005</v>
      </c>
      <c r="L58" s="20" t="n">
        <v>540</v>
      </c>
      <c r="M58" s="20" t="n"/>
      <c r="N58" s="20" t="n">
        <v>90</v>
      </c>
      <c r="O58" s="20" t="n"/>
      <c r="P58" s="20" t="n"/>
      <c r="Q58" s="20" t="n"/>
      <c r="R58" s="20" t="n"/>
      <c r="S58" s="22">
        <f>IF($D58="","",ROUND(N($N58)+N($O58)+N($P58)+N($Q58)+N($R58),2))</f>
        <v/>
      </c>
      <c r="T58" s="19" t="n">
        <v>46274</v>
      </c>
      <c r="U58" s="19" t="n">
        <v>46274</v>
      </c>
      <c r="V58" s="23">
        <f>IF($D58="","",IF(OR($T58="",$U58=""),0,MAX(0,INT($U58)-INT($T58))))</f>
        <v/>
      </c>
      <c r="W58" s="22">
        <f>IF($D58="","",ROUND(MAX(0,N($J58)*日滞纳金率*N($V58)-N($R58)),2))</f>
        <v/>
      </c>
      <c r="X58" s="12" t="n"/>
      <c r="Y58" s="12" t="n"/>
      <c r="Z58" s="20" t="n"/>
      <c r="AA58" s="18">
        <f>IF($D58="","",IF(AND($C58&lt;&gt;"",ISNA(MATCH($C58,状态表,0))),"※状态不在【资料】里",IF(AND($G58&lt;&gt;"",$H58&lt;&gt;"",$H58&lt;$G58),"※到期日早于当票日期",IF(AND($F58&lt;&gt;"",COUNTIF($F$4:$F$123,$F58)&gt;1),"※当票号在本表里出现了不止一次",IF(AND(N($U58)&gt;0,N($T58)=0),"※填了实际付息日但没填应付息日","")))))</f>
        <v/>
      </c>
    </row>
    <row r="59">
      <c r="A59" s="18">
        <f>IF($D59="","",COUNTA($D$4:$D59))</f>
        <v/>
      </c>
      <c r="B59" s="12" t="inlineStr">
        <is>
          <t>手表</t>
        </is>
      </c>
      <c r="C59" s="12" t="inlineStr">
        <is>
          <t>在当</t>
        </is>
      </c>
      <c r="D59" s="12" t="inlineStr">
        <is>
          <t>黄远枝</t>
        </is>
      </c>
      <c r="E59" s="12" t="inlineStr">
        <is>
          <t>13509523067</t>
        </is>
      </c>
      <c r="F59" s="12" t="inlineStr">
        <is>
          <t>3524019235</t>
        </is>
      </c>
      <c r="G59" s="19" t="n">
        <v>46195</v>
      </c>
      <c r="H59" s="19" t="n">
        <v>46374</v>
      </c>
      <c r="I59" s="19" t="n"/>
      <c r="J59" s="20" t="n">
        <v>60000</v>
      </c>
      <c r="K59" s="21" t="n">
        <v>0.004</v>
      </c>
      <c r="L59" s="20" t="n">
        <v>1500</v>
      </c>
      <c r="M59" s="20" t="n"/>
      <c r="N59" s="20" t="n">
        <v>240</v>
      </c>
      <c r="O59" s="20" t="n"/>
      <c r="P59" s="20" t="n"/>
      <c r="Q59" s="20" t="n"/>
      <c r="R59" s="20" t="n"/>
      <c r="S59" s="22">
        <f>IF($D59="","",ROUND(N($N59)+N($O59)+N($P59)+N($Q59)+N($R59),2))</f>
        <v/>
      </c>
      <c r="T59" s="19" t="n">
        <v>46286</v>
      </c>
      <c r="U59" s="19" t="n"/>
      <c r="V59" s="23">
        <f>IF($D59="","",IF(OR($T59="",$U59=""),0,MAX(0,INT($U59)-INT($T59))))</f>
        <v/>
      </c>
      <c r="W59" s="22">
        <f>IF($D59="","",ROUND(MAX(0,N($J59)*日滞纳金率*N($V59)-N($R59)),2))</f>
        <v/>
      </c>
      <c r="X59" s="12" t="n"/>
      <c r="Y59" s="12" t="n"/>
      <c r="Z59" s="20" t="n"/>
      <c r="AA59" s="18">
        <f>IF($D59="","",IF(AND($C59&lt;&gt;"",ISNA(MATCH($C59,状态表,0))),"※状态不在【资料】里",IF(AND($G59&lt;&gt;"",$H59&lt;&gt;"",$H59&lt;$G59),"※到期日早于当票日期",IF(AND($F59&lt;&gt;"",COUNTIF($F$4:$F$123,$F59)&gt;1),"※当票号在本表里出现了不止一次",IF(AND(N($U59)&gt;0,N($T59)=0),"※填了实际付息日但没填应付息日","")))))</f>
        <v/>
      </c>
    </row>
    <row r="60">
      <c r="A60" s="18">
        <f>IF($D60="","",COUNTA($D$4:$D60))</f>
        <v/>
      </c>
      <c r="B60" s="12" t="inlineStr">
        <is>
          <t>车子</t>
        </is>
      </c>
      <c r="C60" s="12" t="inlineStr">
        <is>
          <t>在当</t>
        </is>
      </c>
      <c r="D60" s="12" t="inlineStr">
        <is>
          <t>蒙媛媛</t>
        </is>
      </c>
      <c r="E60" s="12" t="inlineStr">
        <is>
          <t>18259980798</t>
        </is>
      </c>
      <c r="F60" s="12" t="inlineStr">
        <is>
          <t>3524019237</t>
        </is>
      </c>
      <c r="G60" s="19" t="n">
        <v>46210</v>
      </c>
      <c r="H60" s="19" t="n">
        <v>46389</v>
      </c>
      <c r="I60" s="19" t="n"/>
      <c r="J60" s="20" t="n">
        <v>43750.01</v>
      </c>
      <c r="K60" s="21" t="n">
        <v>0.025</v>
      </c>
      <c r="L60" s="20" t="n">
        <v>1250</v>
      </c>
      <c r="M60" s="20" t="n"/>
      <c r="N60" s="20" t="n"/>
      <c r="O60" s="20" t="n"/>
      <c r="P60" s="20" t="n"/>
      <c r="Q60" s="20" t="n"/>
      <c r="R60" s="20" t="n"/>
      <c r="S60" s="22">
        <f>IF($D60="","",ROUND(N($N60)+N($O60)+N($P60)+N($Q60)+N($R60),2))</f>
        <v/>
      </c>
      <c r="T60" s="19" t="n">
        <v>46271</v>
      </c>
      <c r="U60" s="19" t="n">
        <v>46271</v>
      </c>
      <c r="V60" s="23">
        <f>IF($D60="","",IF(OR($T60="",$U60=""),0,MAX(0,INT($U60)-INT($T60))))</f>
        <v/>
      </c>
      <c r="W60" s="22">
        <f>IF($D60="","",ROUND(MAX(0,N($J60)*日滞纳金率*N($V60)-N($R60)),2))</f>
        <v/>
      </c>
      <c r="X60" s="12" t="n"/>
      <c r="Y60" s="12" t="n"/>
      <c r="Z60" s="20" t="n"/>
      <c r="AA60" s="18">
        <f>IF($D60="","",IF(AND($C60&lt;&gt;"",ISNA(MATCH($C60,状态表,0))),"※状态不在【资料】里",IF(AND($G60&lt;&gt;"",$H60&lt;&gt;"",$H60&lt;$G60),"※到期日早于当票日期",IF(AND($F60&lt;&gt;"",COUNTIF($F$4:$F$123,$F60)&gt;1),"※当票号在本表里出现了不止一次",IF(AND(N($U60)&gt;0,N($T60)=0),"※填了实际付息日但没填应付息日","")))))</f>
        <v/>
      </c>
    </row>
    <row r="61">
      <c r="A61" s="18">
        <f>IF($D61="","",COUNTA($D$4:$D61))</f>
        <v/>
      </c>
      <c r="B61" s="12" t="inlineStr">
        <is>
          <t>房产</t>
        </is>
      </c>
      <c r="C61" s="12" t="inlineStr">
        <is>
          <t>结款未赎</t>
        </is>
      </c>
      <c r="D61" s="12" t="inlineStr">
        <is>
          <t>汪琼宇</t>
        </is>
      </c>
      <c r="E61" s="12" t="inlineStr">
        <is>
          <t>13860629781</t>
        </is>
      </c>
      <c r="F61" s="12" t="inlineStr">
        <is>
          <t>3524019243</t>
        </is>
      </c>
      <c r="G61" s="19" t="n">
        <v>46219</v>
      </c>
      <c r="H61" s="19" t="n">
        <v>46398</v>
      </c>
      <c r="I61" s="19" t="n"/>
      <c r="J61" s="20" t="n">
        <v>400000</v>
      </c>
      <c r="K61" s="21" t="n">
        <v>0.018</v>
      </c>
      <c r="L61" s="20" t="n">
        <v>7200</v>
      </c>
      <c r="M61" s="20" t="n"/>
      <c r="N61" s="20" t="n"/>
      <c r="O61" s="20" t="n"/>
      <c r="P61" s="20" t="n"/>
      <c r="Q61" s="20" t="n"/>
      <c r="R61" s="20" t="n"/>
      <c r="S61" s="22">
        <f>IF($D61="","",ROUND(N($N61)+N($O61)+N($P61)+N($Q61)+N($R61),2))</f>
        <v/>
      </c>
      <c r="T61" s="19" t="n">
        <v>46250</v>
      </c>
      <c r="U61" s="19" t="n"/>
      <c r="V61" s="23">
        <f>IF($D61="","",IF(OR($T61="",$U61=""),0,MAX(0,INT($U61)-INT($T61))))</f>
        <v/>
      </c>
      <c r="W61" s="22">
        <f>IF($D61="","",ROUND(MAX(0,N($J61)*日滞纳金率*N($V61)-N($R61)),2))</f>
        <v/>
      </c>
      <c r="X61" s="12" t="n"/>
      <c r="Y61" s="12" t="n"/>
      <c r="Z61" s="20" t="n"/>
      <c r="AA61" s="18">
        <f>IF($D61="","",IF(AND($C61&lt;&gt;"",ISNA(MATCH($C61,状态表,0))),"※状态不在【资料】里",IF(AND($G61&lt;&gt;"",$H61&lt;&gt;"",$H61&lt;$G61),"※到期日早于当票日期",IF(AND($F61&lt;&gt;"",COUNTIF($F$4:$F$123,$F61)&gt;1),"※当票号在本表里出现了不止一次",IF(AND(N($U61)&gt;0,N($T61)=0),"※填了实际付息日但没填应付息日","")))))</f>
        <v/>
      </c>
    </row>
    <row r="62">
      <c r="A62" s="18">
        <f>IF($D62="","",COUNTA($D$4:$D62))</f>
        <v/>
      </c>
      <c r="B62" s="12" t="inlineStr">
        <is>
          <t>房产</t>
        </is>
      </c>
      <c r="C62" s="12" t="inlineStr">
        <is>
          <t>结款未赎</t>
        </is>
      </c>
      <c r="D62" s="12" t="inlineStr">
        <is>
          <t>汪琼宇</t>
        </is>
      </c>
      <c r="E62" s="12" t="inlineStr">
        <is>
          <t>13860629781</t>
        </is>
      </c>
      <c r="F62" s="12" t="n"/>
      <c r="G62" s="19" t="n">
        <v>46230</v>
      </c>
      <c r="H62" s="19" t="n">
        <v>46407</v>
      </c>
      <c r="I62" s="19" t="n"/>
      <c r="J62" s="20" t="n">
        <v>200000</v>
      </c>
      <c r="K62" s="21" t="n">
        <v>0.018</v>
      </c>
      <c r="L62" s="20" t="n">
        <v>3600</v>
      </c>
      <c r="M62" s="20" t="n"/>
      <c r="N62" s="20" t="n"/>
      <c r="O62" s="20" t="n"/>
      <c r="P62" s="20" t="n"/>
      <c r="Q62" s="20" t="n"/>
      <c r="R62" s="20" t="n"/>
      <c r="S62" s="22">
        <f>IF($D62="","",ROUND(N($N62)+N($O62)+N($P62)+N($Q62)+N($R62),2))</f>
        <v/>
      </c>
      <c r="T62" s="19" t="n">
        <v>46261</v>
      </c>
      <c r="U62" s="19" t="n"/>
      <c r="V62" s="23">
        <f>IF($D62="","",IF(OR($T62="",$U62=""),0,MAX(0,INT($U62)-INT($T62))))</f>
        <v/>
      </c>
      <c r="W62" s="22">
        <f>IF($D62="","",ROUND(MAX(0,N($J62)*日滞纳金率*N($V62)-N($R62)),2))</f>
        <v/>
      </c>
      <c r="X62" s="12" t="n"/>
      <c r="Y62" s="12" t="n"/>
      <c r="Z62" s="20" t="n"/>
      <c r="AA62" s="18">
        <f>IF($D62="","",IF(AND($C62&lt;&gt;"",ISNA(MATCH($C62,状态表,0))),"※状态不在【资料】里",IF(AND($G62&lt;&gt;"",$H62&lt;&gt;"",$H62&lt;$G62),"※到期日早于当票日期",IF(AND($F62&lt;&gt;"",COUNTIF($F$4:$F$123,$F62)&gt;1),"※当票号在本表里出现了不止一次",IF(AND(N($U62)&gt;0,N($T62)=0),"※填了实际付息日但没填应付息日","")))))</f>
        <v/>
      </c>
    </row>
    <row r="63">
      <c r="A63" s="18">
        <f>IF($D63="","",COUNTA($D$4:$D63))</f>
        <v/>
      </c>
      <c r="B63" s="12" t="inlineStr">
        <is>
          <t>房产</t>
        </is>
      </c>
      <c r="C63" s="12" t="inlineStr">
        <is>
          <t>结款未赎</t>
        </is>
      </c>
      <c r="D63" s="12" t="inlineStr">
        <is>
          <t>汪琼宇</t>
        </is>
      </c>
      <c r="E63" s="12" t="inlineStr">
        <is>
          <t>13860629781</t>
        </is>
      </c>
      <c r="F63" s="12" t="n"/>
      <c r="G63" s="19" t="n">
        <v>46234</v>
      </c>
      <c r="H63" s="19" t="n">
        <v>46412</v>
      </c>
      <c r="I63" s="19" t="n"/>
      <c r="J63" s="20" t="n">
        <v>100000</v>
      </c>
      <c r="K63" s="21" t="n">
        <v>0.018</v>
      </c>
      <c r="L63" s="20" t="n">
        <v>1800</v>
      </c>
      <c r="M63" s="20" t="n"/>
      <c r="N63" s="20" t="n"/>
      <c r="O63" s="20" t="n"/>
      <c r="P63" s="20" t="n"/>
      <c r="Q63" s="20" t="n"/>
      <c r="R63" s="20" t="n"/>
      <c r="S63" s="22">
        <f>IF($D63="","",ROUND(N($N63)+N($O63)+N($P63)+N($Q63)+N($R63),2))</f>
        <v/>
      </c>
      <c r="T63" s="19" t="n">
        <v>46264</v>
      </c>
      <c r="U63" s="19" t="n"/>
      <c r="V63" s="23">
        <f>IF($D63="","",IF(OR($T63="",$U63=""),0,MAX(0,INT($U63)-INT($T63))))</f>
        <v/>
      </c>
      <c r="W63" s="22">
        <f>IF($D63="","",ROUND(MAX(0,N($J63)*日滞纳金率*N($V63)-N($R63)),2))</f>
        <v/>
      </c>
      <c r="X63" s="12" t="n"/>
      <c r="Y63" s="12" t="n"/>
      <c r="Z63" s="20" t="n"/>
      <c r="AA63" s="18">
        <f>IF($D63="","",IF(AND($C63&lt;&gt;"",ISNA(MATCH($C63,状态表,0))),"※状态不在【资料】里",IF(AND($G63&lt;&gt;"",$H63&lt;&gt;"",$H63&lt;$G63),"※到期日早于当票日期",IF(AND($F63&lt;&gt;"",COUNTIF($F$4:$F$123,$F63)&gt;1),"※当票号在本表里出现了不止一次",IF(AND(N($U63)&gt;0,N($T63)=0),"※填了实际付息日但没填应付息日","")))))</f>
        <v/>
      </c>
    </row>
    <row r="64">
      <c r="A64" s="18">
        <f>IF($D64="","",COUNTA($D$4:$D64))</f>
        <v/>
      </c>
      <c r="B64" s="12" t="inlineStr">
        <is>
          <t>房产</t>
        </is>
      </c>
      <c r="C64" s="12" t="inlineStr">
        <is>
          <t>在当</t>
        </is>
      </c>
      <c r="D64" s="12" t="inlineStr">
        <is>
          <t>林昌耿</t>
        </is>
      </c>
      <c r="E64" s="12" t="inlineStr">
        <is>
          <t>13705954599</t>
        </is>
      </c>
      <c r="F64" s="12" t="inlineStr">
        <is>
          <t>3524019239</t>
        </is>
      </c>
      <c r="G64" s="19" t="n">
        <v>46223</v>
      </c>
      <c r="H64" s="19" t="n">
        <v>46402</v>
      </c>
      <c r="I64" s="19" t="n"/>
      <c r="J64" s="20" t="n">
        <v>200000</v>
      </c>
      <c r="K64" s="21" t="n">
        <v>0.025</v>
      </c>
      <c r="L64" s="20" t="n">
        <v>5000</v>
      </c>
      <c r="M64" s="20" t="n"/>
      <c r="N64" s="20" t="n"/>
      <c r="O64" s="20" t="n"/>
      <c r="P64" s="20" t="n"/>
      <c r="Q64" s="20" t="n"/>
      <c r="R64" s="20" t="n"/>
      <c r="S64" s="22">
        <f>IF($D64="","",ROUND(N($N64)+N($O64)+N($P64)+N($Q64)+N($R64),2))</f>
        <v/>
      </c>
      <c r="T64" s="19" t="n">
        <v>46223</v>
      </c>
      <c r="U64" s="19" t="n"/>
      <c r="V64" s="23">
        <f>IF($D64="","",IF(OR($T64="",$U64=""),0,MAX(0,INT($U64)-INT($T64))))</f>
        <v/>
      </c>
      <c r="W64" s="22">
        <f>IF($D64="","",ROUND(MAX(0,N($J64)*日滞纳金率*N($V64)-N($R64)),2))</f>
        <v/>
      </c>
      <c r="X64" s="12" t="n"/>
      <c r="Y64" s="12" t="n"/>
      <c r="Z64" s="20" t="n"/>
      <c r="AA64" s="18">
        <f>IF($D64="","",IF(AND($C64&lt;&gt;"",ISNA(MATCH($C64,状态表,0))),"※状态不在【资料】里",IF(AND($G64&lt;&gt;"",$H64&lt;&gt;"",$H64&lt;$G64),"※到期日早于当票日期",IF(AND($F64&lt;&gt;"",COUNTIF($F$4:$F$123,$F64)&gt;1),"※当票号在本表里出现了不止一次",IF(AND(N($U64)&gt;0,N($T64)=0),"※填了实际付息日但没填应付息日","")))))</f>
        <v/>
      </c>
    </row>
    <row r="65">
      <c r="A65" s="18">
        <f>IF($D65="","",COUNTA($D$4:$D65))</f>
        <v/>
      </c>
      <c r="B65" s="12" t="inlineStr">
        <is>
          <t>黄金</t>
        </is>
      </c>
      <c r="C65" s="12" t="inlineStr">
        <is>
          <t>在当</t>
        </is>
      </c>
      <c r="D65" s="12" t="inlineStr">
        <is>
          <t>施鉴波</t>
        </is>
      </c>
      <c r="E65" s="12" t="inlineStr">
        <is>
          <t>15695902836</t>
        </is>
      </c>
      <c r="F65" s="12" t="inlineStr">
        <is>
          <t>3524019242</t>
        </is>
      </c>
      <c r="G65" s="19" t="n">
        <v>46226</v>
      </c>
      <c r="H65" s="19" t="n">
        <v>46405</v>
      </c>
      <c r="I65" s="19" t="n"/>
      <c r="J65" s="20" t="n">
        <v>17000</v>
      </c>
      <c r="K65" s="21" t="n">
        <v>0.005</v>
      </c>
      <c r="L65" s="20" t="n">
        <v>425</v>
      </c>
      <c r="M65" s="20" t="n"/>
      <c r="N65" s="20" t="n">
        <v>85</v>
      </c>
      <c r="O65" s="20" t="n"/>
      <c r="P65" s="20" t="n"/>
      <c r="Q65" s="20" t="n"/>
      <c r="R65" s="20" t="n"/>
      <c r="S65" s="22">
        <f>IF($D65="","",ROUND(N($N65)+N($O65)+N($P65)+N($Q65)+N($R65),2))</f>
        <v/>
      </c>
      <c r="T65" s="19" t="n">
        <v>46256</v>
      </c>
      <c r="U65" s="19" t="n">
        <v>46255</v>
      </c>
      <c r="V65" s="23">
        <f>IF($D65="","",IF(OR($T65="",$U65=""),0,MAX(0,INT($U65)-INT($T65))))</f>
        <v/>
      </c>
      <c r="W65" s="22">
        <f>IF($D65="","",ROUND(MAX(0,N($J65)*日滞纳金率*N($V65)-N($R65)),2))</f>
        <v/>
      </c>
      <c r="X65" s="12" t="n"/>
      <c r="Y65" s="12" t="n"/>
      <c r="Z65" s="20" t="n"/>
      <c r="AA65" s="18">
        <f>IF($D65="","",IF(AND($C65&lt;&gt;"",ISNA(MATCH($C65,状态表,0))),"※状态不在【资料】里",IF(AND($G65&lt;&gt;"",$H65&lt;&gt;"",$H65&lt;$G65),"※到期日早于当票日期",IF(AND($F65&lt;&gt;"",COUNTIF($F$4:$F$123,$F65)&gt;1),"※当票号在本表里出现了不止一次",IF(AND(N($U65)&gt;0,N($T65)=0),"※填了实际付息日但没填应付息日","")))))</f>
        <v/>
      </c>
    </row>
    <row r="66">
      <c r="A66" s="18">
        <f>IF($D66="","",COUNTA($D$4:$D66))</f>
        <v/>
      </c>
      <c r="B66" s="12" t="inlineStr">
        <is>
          <t>不动产</t>
        </is>
      </c>
      <c r="C66" s="12" t="inlineStr">
        <is>
          <t>在当</t>
        </is>
      </c>
      <c r="D66" s="12" t="inlineStr">
        <is>
          <t>叶守芳</t>
        </is>
      </c>
      <c r="E66" s="12" t="inlineStr">
        <is>
          <t>13860651148</t>
        </is>
      </c>
      <c r="F66" s="12" t="inlineStr">
        <is>
          <t>3524019241</t>
        </is>
      </c>
      <c r="G66" s="19" t="n">
        <v>46225</v>
      </c>
      <c r="H66" s="19" t="n">
        <v>46314</v>
      </c>
      <c r="I66" s="19" t="n"/>
      <c r="J66" s="20" t="n">
        <v>200000</v>
      </c>
      <c r="K66" s="21" t="n">
        <v>0.023</v>
      </c>
      <c r="L66" s="20" t="n">
        <v>4600</v>
      </c>
      <c r="M66" s="20" t="n"/>
      <c r="N66" s="20" t="n"/>
      <c r="O66" s="20" t="n"/>
      <c r="P66" s="20" t="n"/>
      <c r="Q66" s="20" t="n"/>
      <c r="R66" s="20" t="n"/>
      <c r="S66" s="22">
        <f>IF($D66="","",ROUND(N($N66)+N($O66)+N($P66)+N($Q66)+N($R66),2))</f>
        <v/>
      </c>
      <c r="T66" s="19" t="n">
        <v>46295</v>
      </c>
      <c r="U66" s="19" t="n"/>
      <c r="V66" s="23">
        <f>IF($D66="","",IF(OR($T66="",$U66=""),0,MAX(0,INT($U66)-INT($T66))))</f>
        <v/>
      </c>
      <c r="W66" s="22">
        <f>IF($D66="","",ROUND(MAX(0,N($J66)*日滞纳金率*N($V66)-N($R66)),2))</f>
        <v/>
      </c>
      <c r="X66" s="12" t="n"/>
      <c r="Y66" s="12" t="n"/>
      <c r="Z66" s="20" t="n"/>
      <c r="AA66" s="18">
        <f>IF($D66="","",IF(AND($C66&lt;&gt;"",ISNA(MATCH($C66,状态表,0))),"※状态不在【资料】里",IF(AND($G66&lt;&gt;"",$H66&lt;&gt;"",$H66&lt;$G66),"※到期日早于当票日期",IF(AND($F66&lt;&gt;"",COUNTIF($F$4:$F$123,$F66)&gt;1),"※当票号在本表里出现了不止一次",IF(AND(N($U66)&gt;0,N($T66)=0),"※填了实际付息日但没填应付息日","")))))</f>
        <v/>
      </c>
    </row>
    <row r="67">
      <c r="A67" s="18">
        <f>IF($D67="","",COUNTA($D$4:$D67))</f>
        <v/>
      </c>
      <c r="B67" s="12" t="inlineStr">
        <is>
          <t>房产</t>
        </is>
      </c>
      <c r="C67" s="12" t="inlineStr">
        <is>
          <t>在当</t>
        </is>
      </c>
      <c r="D67" s="12" t="inlineStr">
        <is>
          <t>黄飞</t>
        </is>
      </c>
      <c r="E67" s="12" t="inlineStr">
        <is>
          <t>17759887551</t>
        </is>
      </c>
      <c r="F67" s="12" t="inlineStr">
        <is>
          <t>3524019245</t>
        </is>
      </c>
      <c r="G67" s="19" t="n">
        <v>46261</v>
      </c>
      <c r="H67" s="19" t="n">
        <v>46350</v>
      </c>
      <c r="I67" s="19" t="n"/>
      <c r="J67" s="20" t="n">
        <v>120000</v>
      </c>
      <c r="K67" s="21" t="n">
        <v>0.025</v>
      </c>
      <c r="L67" s="20" t="n">
        <v>3000</v>
      </c>
      <c r="M67" s="20" t="n"/>
      <c r="N67" s="20" t="n"/>
      <c r="O67" s="20" t="n"/>
      <c r="P67" s="20" t="n"/>
      <c r="Q67" s="20" t="n"/>
      <c r="R67" s="20" t="n"/>
      <c r="S67" s="22">
        <f>IF($D67="","",ROUND(N($N67)+N($O67)+N($P67)+N($Q67)+N($R67),2))</f>
        <v/>
      </c>
      <c r="T67" s="19" t="n">
        <v>46291</v>
      </c>
      <c r="U67" s="19" t="n"/>
      <c r="V67" s="23">
        <f>IF($D67="","",IF(OR($T67="",$U67=""),0,MAX(0,INT($U67)-INT($T67))))</f>
        <v/>
      </c>
      <c r="W67" s="22">
        <f>IF($D67="","",ROUND(MAX(0,N($J67)*日滞纳金率*N($V67)-N($R67)),2))</f>
        <v/>
      </c>
      <c r="X67" s="12" t="n"/>
      <c r="Y67" s="12" t="n"/>
      <c r="Z67" s="20" t="n"/>
      <c r="AA67" s="18">
        <f>IF($D67="","",IF(AND($C67&lt;&gt;"",ISNA(MATCH($C67,状态表,0))),"※状态不在【资料】里",IF(AND($G67&lt;&gt;"",$H67&lt;&gt;"",$H67&lt;$G67),"※到期日早于当票日期",IF(AND($F67&lt;&gt;"",COUNTIF($F$4:$F$123,$F67)&gt;1),"※当票号在本表里出现了不止一次",IF(AND(N($U67)&gt;0,N($T67)=0),"※填了实际付息日但没填应付息日","")))))</f>
        <v/>
      </c>
    </row>
    <row r="68">
      <c r="A68" s="18">
        <f>IF($D68="","",COUNTA($D$4:$D68))</f>
        <v/>
      </c>
      <c r="B68" s="12" t="inlineStr">
        <is>
          <t>黄金</t>
        </is>
      </c>
      <c r="C68" s="12" t="inlineStr">
        <is>
          <t>在当</t>
        </is>
      </c>
      <c r="D68" s="12" t="inlineStr">
        <is>
          <t>林凯鑫</t>
        </is>
      </c>
      <c r="E68" s="12" t="inlineStr">
        <is>
          <t>15880077948</t>
        </is>
      </c>
      <c r="F68" s="12" t="inlineStr">
        <is>
          <t>3524019246</t>
        </is>
      </c>
      <c r="G68" s="19" t="n">
        <v>46266</v>
      </c>
      <c r="H68" s="19" t="n">
        <v>46445</v>
      </c>
      <c r="I68" s="19" t="n"/>
      <c r="J68" s="20" t="n">
        <v>90000</v>
      </c>
      <c r="K68" s="21" t="n">
        <v>0.003</v>
      </c>
      <c r="L68" s="20" t="n">
        <v>1350</v>
      </c>
      <c r="M68" s="20" t="n"/>
      <c r="N68" s="20" t="n">
        <v>270</v>
      </c>
      <c r="O68" s="20" t="n"/>
      <c r="P68" s="20" t="n"/>
      <c r="Q68" s="20" t="n"/>
      <c r="R68" s="20" t="n"/>
      <c r="S68" s="22">
        <f>IF($D68="","",ROUND(N($N68)+N($O68)+N($P68)+N($Q68)+N($R68),2))</f>
        <v/>
      </c>
      <c r="T68" s="19" t="n">
        <v>46266</v>
      </c>
      <c r="U68" s="19" t="n">
        <v>46266</v>
      </c>
      <c r="V68" s="23">
        <f>IF($D68="","",IF(OR($T68="",$U68=""),0,MAX(0,INT($U68)-INT($T68))))</f>
        <v/>
      </c>
      <c r="W68" s="22">
        <f>IF($D68="","",ROUND(MAX(0,N($J68)*日滞纳金率*N($V68)-N($R68)),2))</f>
        <v/>
      </c>
      <c r="X68" s="12" t="n"/>
      <c r="Y68" s="12" t="n"/>
      <c r="Z68" s="20" t="n"/>
      <c r="AA68" s="18">
        <f>IF($D68="","",IF(AND($C68&lt;&gt;"",ISNA(MATCH($C68,状态表,0))),"※状态不在【资料】里",IF(AND($G68&lt;&gt;"",$H68&lt;&gt;"",$H68&lt;$G68),"※到期日早于当票日期",IF(AND($F68&lt;&gt;"",COUNTIF($F$4:$F$123,$F68)&gt;1),"※当票号在本表里出现了不止一次",IF(AND(N($U68)&gt;0,N($T68)=0),"※填了实际付息日但没填应付息日","")))))</f>
        <v/>
      </c>
    </row>
    <row r="69">
      <c r="A69" s="18">
        <f>IF($D69="","",COUNTA($D$4:$D69))</f>
        <v/>
      </c>
      <c r="B69" s="12" t="inlineStr">
        <is>
          <t>黄金</t>
        </is>
      </c>
      <c r="C69" s="12" t="inlineStr">
        <is>
          <t>在当</t>
        </is>
      </c>
      <c r="D69" s="12" t="inlineStr">
        <is>
          <t>曾云</t>
        </is>
      </c>
      <c r="E69" s="12" t="inlineStr">
        <is>
          <t>15232998080</t>
        </is>
      </c>
      <c r="F69" s="12" t="inlineStr">
        <is>
          <t>3524019247</t>
        </is>
      </c>
      <c r="G69" s="19" t="n">
        <v>46274</v>
      </c>
      <c r="H69" s="19" t="n">
        <v>46453</v>
      </c>
      <c r="I69" s="19" t="n"/>
      <c r="J69" s="20" t="n">
        <v>85000</v>
      </c>
      <c r="K69" s="21" t="n">
        <v>0.003</v>
      </c>
      <c r="L69" s="20" t="n">
        <v>2000</v>
      </c>
      <c r="M69" s="20" t="n"/>
      <c r="N69" s="20" t="n">
        <v>255</v>
      </c>
      <c r="O69" s="20" t="n"/>
      <c r="P69" s="20" t="n"/>
      <c r="Q69" s="20" t="n"/>
      <c r="R69" s="20" t="n"/>
      <c r="S69" s="22">
        <f>IF($D69="","",ROUND(N($N69)+N($O69)+N($P69)+N($Q69)+N($R69),2))</f>
        <v/>
      </c>
      <c r="T69" s="19" t="n">
        <v>46274</v>
      </c>
      <c r="U69" s="19" t="n">
        <v>46274</v>
      </c>
      <c r="V69" s="23">
        <f>IF($D69="","",IF(OR($T69="",$U69=""),0,MAX(0,INT($U69)-INT($T69))))</f>
        <v/>
      </c>
      <c r="W69" s="22">
        <f>IF($D69="","",ROUND(MAX(0,N($J69)*日滞纳金率*N($V69)-N($R69)),2))</f>
        <v/>
      </c>
      <c r="X69" s="12" t="n"/>
      <c r="Y69" s="12" t="n"/>
      <c r="Z69" s="20" t="n"/>
      <c r="AA69" s="18">
        <f>IF($D69="","",IF(AND($C69&lt;&gt;"",ISNA(MATCH($C69,状态表,0))),"※状态不在【资料】里",IF(AND($G69&lt;&gt;"",$H69&lt;&gt;"",$H69&lt;$G69),"※到期日早于当票日期",IF(AND($F69&lt;&gt;"",COUNTIF($F$4:$F$123,$F69)&gt;1),"※当票号在本表里出现了不止一次",IF(AND(N($U69)&gt;0,N($T69)=0),"※填了实际付息日但没填应付息日","")))))</f>
        <v/>
      </c>
    </row>
    <row r="70">
      <c r="A70" s="18">
        <f>IF($D70="","",COUNTA($D$4:$D70))</f>
        <v/>
      </c>
      <c r="B70" s="12" t="inlineStr">
        <is>
          <t>黄金</t>
        </is>
      </c>
      <c r="C70" s="12" t="inlineStr">
        <is>
          <t>在当</t>
        </is>
      </c>
      <c r="D70" s="12" t="inlineStr">
        <is>
          <t>张帆</t>
        </is>
      </c>
      <c r="E70" s="12" t="inlineStr">
        <is>
          <t>18859177111</t>
        </is>
      </c>
      <c r="F70" s="12" t="inlineStr">
        <is>
          <t>3524019249</t>
        </is>
      </c>
      <c r="G70" s="19" t="n">
        <v>46275</v>
      </c>
      <c r="H70" s="19" t="n">
        <v>46090</v>
      </c>
      <c r="I70" s="19" t="n"/>
      <c r="J70" s="20" t="n">
        <v>70000</v>
      </c>
      <c r="K70" s="21" t="n">
        <v>0.003</v>
      </c>
      <c r="L70" s="20" t="n">
        <v>1400</v>
      </c>
      <c r="M70" s="20" t="n"/>
      <c r="N70" s="20" t="n">
        <v>210</v>
      </c>
      <c r="O70" s="20" t="n"/>
      <c r="P70" s="20" t="n"/>
      <c r="Q70" s="20" t="n"/>
      <c r="R70" s="20" t="n"/>
      <c r="S70" s="22">
        <f>IF($D70="","",ROUND(N($N70)+N($O70)+N($P70)+N($Q70)+N($R70),2))</f>
        <v/>
      </c>
      <c r="T70" s="19" t="n">
        <v>46275</v>
      </c>
      <c r="U70" s="19" t="n">
        <v>46275</v>
      </c>
      <c r="V70" s="23">
        <f>IF($D70="","",IF(OR($T70="",$U70=""),0,MAX(0,INT($U70)-INT($T70))))</f>
        <v/>
      </c>
      <c r="W70" s="22">
        <f>IF($D70="","",ROUND(MAX(0,N($J70)*日滞纳金率*N($V70)-N($R70)),2))</f>
        <v/>
      </c>
      <c r="X70" s="12" t="n"/>
      <c r="Y70" s="12" t="n"/>
      <c r="Z70" s="20" t="n"/>
      <c r="AA70" s="18">
        <f>IF($D70="","",IF(AND($C70&lt;&gt;"",ISNA(MATCH($C70,状态表,0))),"※状态不在【资料】里",IF(AND($G70&lt;&gt;"",$H70&lt;&gt;"",$H70&lt;$G70),"※到期日早于当票日期",IF(AND($F70&lt;&gt;"",COUNTIF($F$4:$F$123,$F70)&gt;1),"※当票号在本表里出现了不止一次",IF(AND(N($U70)&gt;0,N($T70)=0),"※填了实际付息日但没填应付息日","")))))</f>
        <v/>
      </c>
    </row>
    <row r="71">
      <c r="A71" s="18">
        <f>IF($D71="","",COUNTA($D$4:$D71))</f>
        <v/>
      </c>
      <c r="B71" s="12" t="n"/>
      <c r="C71" s="12" t="n"/>
      <c r="D71" s="12" t="n"/>
      <c r="E71" s="12" t="n"/>
      <c r="F71" s="12" t="n"/>
      <c r="G71" s="19" t="n"/>
      <c r="H71" s="19" t="n"/>
      <c r="I71" s="19" t="n"/>
      <c r="J71" s="20" t="n"/>
      <c r="K71" s="21" t="n"/>
      <c r="L71" s="20" t="n"/>
      <c r="M71" s="20" t="n"/>
      <c r="N71" s="20" t="n"/>
      <c r="O71" s="20" t="n"/>
      <c r="P71" s="20" t="n"/>
      <c r="Q71" s="20" t="n"/>
      <c r="R71" s="20" t="n"/>
      <c r="S71" s="22">
        <f>IF($D71="","",ROUND(N($N71)+N($O71)+N($P71)+N($Q71)+N($R71),2))</f>
        <v/>
      </c>
      <c r="T71" s="19" t="n"/>
      <c r="U71" s="19" t="n"/>
      <c r="V71" s="23">
        <f>IF($D71="","",IF(OR($T71="",$U71=""),0,MAX(0,INT($U71)-INT($T71))))</f>
        <v/>
      </c>
      <c r="W71" s="22">
        <f>IF($D71="","",ROUND(MAX(0,N($J71)*日滞纳金率*N($V71)-N($R71)),2))</f>
        <v/>
      </c>
      <c r="X71" s="12" t="n"/>
      <c r="Y71" s="12" t="n"/>
      <c r="Z71" s="20" t="n"/>
      <c r="AA71" s="18">
        <f>IF($D71="","",IF(AND($C71&lt;&gt;"",ISNA(MATCH($C71,状态表,0))),"※状态不在【资料】里",IF(AND($G71&lt;&gt;"",$H71&lt;&gt;"",$H71&lt;$G71),"※到期日早于当票日期",IF(AND($F71&lt;&gt;"",COUNTIF($F$4:$F$123,$F71)&gt;1),"※当票号在本表里出现了不止一次",IF(AND(N($U71)&gt;0,N($T71)=0),"※填了实际付息日但没填应付息日","")))))</f>
        <v/>
      </c>
    </row>
    <row r="72">
      <c r="A72" s="18">
        <f>IF($D72="","",COUNTA($D$4:$D72))</f>
        <v/>
      </c>
      <c r="B72" s="12" t="n"/>
      <c r="C72" s="12" t="n"/>
      <c r="D72" s="12" t="n"/>
      <c r="E72" s="12" t="n"/>
      <c r="F72" s="12" t="n"/>
      <c r="G72" s="19" t="n"/>
      <c r="H72" s="19" t="n"/>
      <c r="I72" s="19" t="n"/>
      <c r="J72" s="20" t="n"/>
      <c r="K72" s="21" t="n"/>
      <c r="L72" s="20" t="n"/>
      <c r="M72" s="20" t="n"/>
      <c r="N72" s="20" t="n"/>
      <c r="O72" s="20" t="n"/>
      <c r="P72" s="20" t="n"/>
      <c r="Q72" s="20" t="n"/>
      <c r="R72" s="20" t="n"/>
      <c r="S72" s="22">
        <f>IF($D72="","",ROUND(N($N72)+N($O72)+N($P72)+N($Q72)+N($R72),2))</f>
        <v/>
      </c>
      <c r="T72" s="19" t="n"/>
      <c r="U72" s="19" t="n"/>
      <c r="V72" s="23">
        <f>IF($D72="","",IF(OR($T72="",$U72=""),0,MAX(0,INT($U72)-INT($T72))))</f>
        <v/>
      </c>
      <c r="W72" s="22">
        <f>IF($D72="","",ROUND(MAX(0,N($J72)*日滞纳金率*N($V72)-N($R72)),2))</f>
        <v/>
      </c>
      <c r="X72" s="12" t="n"/>
      <c r="Y72" s="12" t="n"/>
      <c r="Z72" s="20" t="n"/>
      <c r="AA72" s="18">
        <f>IF($D72="","",IF(AND($C72&lt;&gt;"",ISNA(MATCH($C72,状态表,0))),"※状态不在【资料】里",IF(AND($G72&lt;&gt;"",$H72&lt;&gt;"",$H72&lt;$G72),"※到期日早于当票日期",IF(AND($F72&lt;&gt;"",COUNTIF($F$4:$F$123,$F72)&gt;1),"※当票号在本表里出现了不止一次",IF(AND(N($U72)&gt;0,N($T72)=0),"※填了实际付息日但没填应付息日","")))))</f>
        <v/>
      </c>
    </row>
    <row r="73">
      <c r="A73" s="18">
        <f>IF($D73="","",COUNTA($D$4:$D73))</f>
        <v/>
      </c>
      <c r="B73" s="12" t="n"/>
      <c r="C73" s="12" t="n"/>
      <c r="D73" s="12" t="n"/>
      <c r="E73" s="12" t="n"/>
      <c r="F73" s="12" t="n"/>
      <c r="G73" s="19" t="n"/>
      <c r="H73" s="19" t="n"/>
      <c r="I73" s="19" t="n"/>
      <c r="J73" s="20" t="n"/>
      <c r="K73" s="21" t="n"/>
      <c r="L73" s="20" t="n"/>
      <c r="M73" s="20" t="n"/>
      <c r="N73" s="20" t="n"/>
      <c r="O73" s="20" t="n"/>
      <c r="P73" s="20" t="n"/>
      <c r="Q73" s="20" t="n"/>
      <c r="R73" s="20" t="n"/>
      <c r="S73" s="22">
        <f>IF($D73="","",ROUND(N($N73)+N($O73)+N($P73)+N($Q73)+N($R73),2))</f>
        <v/>
      </c>
      <c r="T73" s="19" t="n"/>
      <c r="U73" s="19" t="n"/>
      <c r="V73" s="23">
        <f>IF($D73="","",IF(OR($T73="",$U73=""),0,MAX(0,INT($U73)-INT($T73))))</f>
        <v/>
      </c>
      <c r="W73" s="22">
        <f>IF($D73="","",ROUND(MAX(0,N($J73)*日滞纳金率*N($V73)-N($R73)),2))</f>
        <v/>
      </c>
      <c r="X73" s="12" t="n"/>
      <c r="Y73" s="12" t="n"/>
      <c r="Z73" s="20" t="n"/>
      <c r="AA73" s="18">
        <f>IF($D73="","",IF(AND($C73&lt;&gt;"",ISNA(MATCH($C73,状态表,0))),"※状态不在【资料】里",IF(AND($G73&lt;&gt;"",$H73&lt;&gt;"",$H73&lt;$G73),"※到期日早于当票日期",IF(AND($F73&lt;&gt;"",COUNTIF($F$4:$F$123,$F73)&gt;1),"※当票号在本表里出现了不止一次",IF(AND(N($U73)&gt;0,N($T73)=0),"※填了实际付息日但没填应付息日","")))))</f>
        <v/>
      </c>
    </row>
    <row r="74">
      <c r="A74" s="18">
        <f>IF($D74="","",COUNTA($D$4:$D74))</f>
        <v/>
      </c>
      <c r="B74" s="12" t="n"/>
      <c r="C74" s="12" t="n"/>
      <c r="D74" s="12" t="n"/>
      <c r="E74" s="12" t="n"/>
      <c r="F74" s="12" t="n"/>
      <c r="G74" s="19" t="n"/>
      <c r="H74" s="19" t="n"/>
      <c r="I74" s="19" t="n"/>
      <c r="J74" s="20" t="n"/>
      <c r="K74" s="21" t="n"/>
      <c r="L74" s="20" t="n"/>
      <c r="M74" s="20" t="n"/>
      <c r="N74" s="20" t="n"/>
      <c r="O74" s="20" t="n"/>
      <c r="P74" s="20" t="n"/>
      <c r="Q74" s="20" t="n"/>
      <c r="R74" s="20" t="n"/>
      <c r="S74" s="22">
        <f>IF($D74="","",ROUND(N($N74)+N($O74)+N($P74)+N($Q74)+N($R74),2))</f>
        <v/>
      </c>
      <c r="T74" s="19" t="n"/>
      <c r="U74" s="19" t="n"/>
      <c r="V74" s="23">
        <f>IF($D74="","",IF(OR($T74="",$U74=""),0,MAX(0,INT($U74)-INT($T74))))</f>
        <v/>
      </c>
      <c r="W74" s="22">
        <f>IF($D74="","",ROUND(MAX(0,N($J74)*日滞纳金率*N($V74)-N($R74)),2))</f>
        <v/>
      </c>
      <c r="X74" s="12" t="n"/>
      <c r="Y74" s="12" t="n"/>
      <c r="Z74" s="20" t="n"/>
      <c r="AA74" s="18">
        <f>IF($D74="","",IF(AND($C74&lt;&gt;"",ISNA(MATCH($C74,状态表,0))),"※状态不在【资料】里",IF(AND($G74&lt;&gt;"",$H74&lt;&gt;"",$H74&lt;$G74),"※到期日早于当票日期",IF(AND($F74&lt;&gt;"",COUNTIF($F$4:$F$123,$F74)&gt;1),"※当票号在本表里出现了不止一次",IF(AND(N($U74)&gt;0,N($T74)=0),"※填了实际付息日但没填应付息日","")))))</f>
        <v/>
      </c>
    </row>
    <row r="75">
      <c r="A75" s="18">
        <f>IF($D75="","",COUNTA($D$4:$D75))</f>
        <v/>
      </c>
      <c r="B75" s="12" t="n"/>
      <c r="C75" s="12" t="n"/>
      <c r="D75" s="12" t="n"/>
      <c r="E75" s="12" t="n"/>
      <c r="F75" s="12" t="n"/>
      <c r="G75" s="19" t="n"/>
      <c r="H75" s="19" t="n"/>
      <c r="I75" s="19" t="n"/>
      <c r="J75" s="20" t="n"/>
      <c r="K75" s="21" t="n"/>
      <c r="L75" s="20" t="n"/>
      <c r="M75" s="20" t="n"/>
      <c r="N75" s="20" t="n"/>
      <c r="O75" s="20" t="n"/>
      <c r="P75" s="20" t="n"/>
      <c r="Q75" s="20" t="n"/>
      <c r="R75" s="20" t="n"/>
      <c r="S75" s="22">
        <f>IF($D75="","",ROUND(N($N75)+N($O75)+N($P75)+N($Q75)+N($R75),2))</f>
        <v/>
      </c>
      <c r="T75" s="19" t="n"/>
      <c r="U75" s="19" t="n"/>
      <c r="V75" s="23">
        <f>IF($D75="","",IF(OR($T75="",$U75=""),0,MAX(0,INT($U75)-INT($T75))))</f>
        <v/>
      </c>
      <c r="W75" s="22">
        <f>IF($D75="","",ROUND(MAX(0,N($J75)*日滞纳金率*N($V75)-N($R75)),2))</f>
        <v/>
      </c>
      <c r="X75" s="12" t="n"/>
      <c r="Y75" s="12" t="n"/>
      <c r="Z75" s="20" t="n"/>
      <c r="AA75" s="18">
        <f>IF($D75="","",IF(AND($C75&lt;&gt;"",ISNA(MATCH($C75,状态表,0))),"※状态不在【资料】里",IF(AND($G75&lt;&gt;"",$H75&lt;&gt;"",$H75&lt;$G75),"※到期日早于当票日期",IF(AND($F75&lt;&gt;"",COUNTIF($F$4:$F$123,$F75)&gt;1),"※当票号在本表里出现了不止一次",IF(AND(N($U75)&gt;0,N($T75)=0),"※填了实际付息日但没填应付息日","")))))</f>
        <v/>
      </c>
    </row>
    <row r="76">
      <c r="A76" s="18">
        <f>IF($D76="","",COUNTA($D$4:$D76))</f>
        <v/>
      </c>
      <c r="B76" s="12" t="n"/>
      <c r="C76" s="12" t="n"/>
      <c r="D76" s="12" t="n"/>
      <c r="E76" s="12" t="n"/>
      <c r="F76" s="12" t="n"/>
      <c r="G76" s="19" t="n"/>
      <c r="H76" s="19" t="n"/>
      <c r="I76" s="19" t="n"/>
      <c r="J76" s="20" t="n"/>
      <c r="K76" s="21" t="n"/>
      <c r="L76" s="20" t="n"/>
      <c r="M76" s="20" t="n"/>
      <c r="N76" s="20" t="n"/>
      <c r="O76" s="20" t="n"/>
      <c r="P76" s="20" t="n"/>
      <c r="Q76" s="20" t="n"/>
      <c r="R76" s="20" t="n"/>
      <c r="S76" s="22">
        <f>IF($D76="","",ROUND(N($N76)+N($O76)+N($P76)+N($Q76)+N($R76),2))</f>
        <v/>
      </c>
      <c r="T76" s="19" t="n"/>
      <c r="U76" s="19" t="n"/>
      <c r="V76" s="23">
        <f>IF($D76="","",IF(OR($T76="",$U76=""),0,MAX(0,INT($U76)-INT($T76))))</f>
        <v/>
      </c>
      <c r="W76" s="22">
        <f>IF($D76="","",ROUND(MAX(0,N($J76)*日滞纳金率*N($V76)-N($R76)),2))</f>
        <v/>
      </c>
      <c r="X76" s="12" t="n"/>
      <c r="Y76" s="12" t="n"/>
      <c r="Z76" s="20" t="n"/>
      <c r="AA76" s="18">
        <f>IF($D76="","",IF(AND($C76&lt;&gt;"",ISNA(MATCH($C76,状态表,0))),"※状态不在【资料】里",IF(AND($G76&lt;&gt;"",$H76&lt;&gt;"",$H76&lt;$G76),"※到期日早于当票日期",IF(AND($F76&lt;&gt;"",COUNTIF($F$4:$F$123,$F76)&gt;1),"※当票号在本表里出现了不止一次",IF(AND(N($U76)&gt;0,N($T76)=0),"※填了实际付息日但没填应付息日","")))))</f>
        <v/>
      </c>
    </row>
    <row r="77">
      <c r="A77" s="18">
        <f>IF($D77="","",COUNTA($D$4:$D77))</f>
        <v/>
      </c>
      <c r="B77" s="12" t="n"/>
      <c r="C77" s="12" t="n"/>
      <c r="D77" s="12" t="n"/>
      <c r="E77" s="12" t="n"/>
      <c r="F77" s="12" t="n"/>
      <c r="G77" s="19" t="n"/>
      <c r="H77" s="19" t="n"/>
      <c r="I77" s="19" t="n"/>
      <c r="J77" s="20" t="n"/>
      <c r="K77" s="21" t="n"/>
      <c r="L77" s="20" t="n"/>
      <c r="M77" s="20" t="n"/>
      <c r="N77" s="20" t="n"/>
      <c r="O77" s="20" t="n"/>
      <c r="P77" s="20" t="n"/>
      <c r="Q77" s="20" t="n"/>
      <c r="R77" s="20" t="n"/>
      <c r="S77" s="22">
        <f>IF($D77="","",ROUND(N($N77)+N($O77)+N($P77)+N($Q77)+N($R77),2))</f>
        <v/>
      </c>
      <c r="T77" s="19" t="n"/>
      <c r="U77" s="19" t="n"/>
      <c r="V77" s="23">
        <f>IF($D77="","",IF(OR($T77="",$U77=""),0,MAX(0,INT($U77)-INT($T77))))</f>
        <v/>
      </c>
      <c r="W77" s="22">
        <f>IF($D77="","",ROUND(MAX(0,N($J77)*日滞纳金率*N($V77)-N($R77)),2))</f>
        <v/>
      </c>
      <c r="X77" s="12" t="n"/>
      <c r="Y77" s="12" t="n"/>
      <c r="Z77" s="20" t="n"/>
      <c r="AA77" s="18">
        <f>IF($D77="","",IF(AND($C77&lt;&gt;"",ISNA(MATCH($C77,状态表,0))),"※状态不在【资料】里",IF(AND($G77&lt;&gt;"",$H77&lt;&gt;"",$H77&lt;$G77),"※到期日早于当票日期",IF(AND($F77&lt;&gt;"",COUNTIF($F$4:$F$123,$F77)&gt;1),"※当票号在本表里出现了不止一次",IF(AND(N($U77)&gt;0,N($T77)=0),"※填了实际付息日但没填应付息日","")))))</f>
        <v/>
      </c>
    </row>
    <row r="78">
      <c r="A78" s="18">
        <f>IF($D78="","",COUNTA($D$4:$D78))</f>
        <v/>
      </c>
      <c r="B78" s="12" t="n"/>
      <c r="C78" s="12" t="n"/>
      <c r="D78" s="12" t="n"/>
      <c r="E78" s="12" t="n"/>
      <c r="F78" s="12" t="n"/>
      <c r="G78" s="19" t="n"/>
      <c r="H78" s="19" t="n"/>
      <c r="I78" s="19" t="n"/>
      <c r="J78" s="20" t="n"/>
      <c r="K78" s="21" t="n"/>
      <c r="L78" s="20" t="n"/>
      <c r="M78" s="20" t="n"/>
      <c r="N78" s="20" t="n"/>
      <c r="O78" s="20" t="n"/>
      <c r="P78" s="20" t="n"/>
      <c r="Q78" s="20" t="n"/>
      <c r="R78" s="20" t="n"/>
      <c r="S78" s="22">
        <f>IF($D78="","",ROUND(N($N78)+N($O78)+N($P78)+N($Q78)+N($R78),2))</f>
        <v/>
      </c>
      <c r="T78" s="19" t="n"/>
      <c r="U78" s="19" t="n"/>
      <c r="V78" s="23">
        <f>IF($D78="","",IF(OR($T78="",$U78=""),0,MAX(0,INT($U78)-INT($T78))))</f>
        <v/>
      </c>
      <c r="W78" s="22">
        <f>IF($D78="","",ROUND(MAX(0,N($J78)*日滞纳金率*N($V78)-N($R78)),2))</f>
        <v/>
      </c>
      <c r="X78" s="12" t="n"/>
      <c r="Y78" s="12" t="n"/>
      <c r="Z78" s="20" t="n"/>
      <c r="AA78" s="18">
        <f>IF($D78="","",IF(AND($C78&lt;&gt;"",ISNA(MATCH($C78,状态表,0))),"※状态不在【资料】里",IF(AND($G78&lt;&gt;"",$H78&lt;&gt;"",$H78&lt;$G78),"※到期日早于当票日期",IF(AND($F78&lt;&gt;"",COUNTIF($F$4:$F$123,$F78)&gt;1),"※当票号在本表里出现了不止一次",IF(AND(N($U78)&gt;0,N($T78)=0),"※填了实际付息日但没填应付息日","")))))</f>
        <v/>
      </c>
    </row>
    <row r="79">
      <c r="A79" s="18">
        <f>IF($D79="","",COUNTA($D$4:$D79))</f>
        <v/>
      </c>
      <c r="B79" s="12" t="n"/>
      <c r="C79" s="12" t="n"/>
      <c r="D79" s="12" t="n"/>
      <c r="E79" s="12" t="n"/>
      <c r="F79" s="12" t="n"/>
      <c r="G79" s="19" t="n"/>
      <c r="H79" s="19" t="n"/>
      <c r="I79" s="19" t="n"/>
      <c r="J79" s="20" t="n"/>
      <c r="K79" s="21" t="n"/>
      <c r="L79" s="20" t="n"/>
      <c r="M79" s="20" t="n"/>
      <c r="N79" s="20" t="n"/>
      <c r="O79" s="20" t="n"/>
      <c r="P79" s="20" t="n"/>
      <c r="Q79" s="20" t="n"/>
      <c r="R79" s="20" t="n"/>
      <c r="S79" s="22">
        <f>IF($D79="","",ROUND(N($N79)+N($O79)+N($P79)+N($Q79)+N($R79),2))</f>
        <v/>
      </c>
      <c r="T79" s="19" t="n"/>
      <c r="U79" s="19" t="n"/>
      <c r="V79" s="23">
        <f>IF($D79="","",IF(OR($T79="",$U79=""),0,MAX(0,INT($U79)-INT($T79))))</f>
        <v/>
      </c>
      <c r="W79" s="22">
        <f>IF($D79="","",ROUND(MAX(0,N($J79)*日滞纳金率*N($V79)-N($R79)),2))</f>
        <v/>
      </c>
      <c r="X79" s="12" t="n"/>
      <c r="Y79" s="12" t="n"/>
      <c r="Z79" s="20" t="n"/>
      <c r="AA79" s="18">
        <f>IF($D79="","",IF(AND($C79&lt;&gt;"",ISNA(MATCH($C79,状态表,0))),"※状态不在【资料】里",IF(AND($G79&lt;&gt;"",$H79&lt;&gt;"",$H79&lt;$G79),"※到期日早于当票日期",IF(AND($F79&lt;&gt;"",COUNTIF($F$4:$F$123,$F79)&gt;1),"※当票号在本表里出现了不止一次",IF(AND(N($U79)&gt;0,N($T79)=0),"※填了实际付息日但没填应付息日","")))))</f>
        <v/>
      </c>
    </row>
    <row r="80">
      <c r="A80" s="18">
        <f>IF($D80="","",COUNTA($D$4:$D80))</f>
        <v/>
      </c>
      <c r="B80" s="12" t="n"/>
      <c r="C80" s="12" t="n"/>
      <c r="D80" s="12" t="n"/>
      <c r="E80" s="12" t="n"/>
      <c r="F80" s="12" t="n"/>
      <c r="G80" s="19" t="n"/>
      <c r="H80" s="19" t="n"/>
      <c r="I80" s="19" t="n"/>
      <c r="J80" s="20" t="n"/>
      <c r="K80" s="21" t="n"/>
      <c r="L80" s="20" t="n"/>
      <c r="M80" s="20" t="n"/>
      <c r="N80" s="20" t="n"/>
      <c r="O80" s="20" t="n"/>
      <c r="P80" s="20" t="n"/>
      <c r="Q80" s="20" t="n"/>
      <c r="R80" s="20" t="n"/>
      <c r="S80" s="22">
        <f>IF($D80="","",ROUND(N($N80)+N($O80)+N($P80)+N($Q80)+N($R80),2))</f>
        <v/>
      </c>
      <c r="T80" s="19" t="n"/>
      <c r="U80" s="19" t="n"/>
      <c r="V80" s="23">
        <f>IF($D80="","",IF(OR($T80="",$U80=""),0,MAX(0,INT($U80)-INT($T80))))</f>
        <v/>
      </c>
      <c r="W80" s="22">
        <f>IF($D80="","",ROUND(MAX(0,N($J80)*日滞纳金率*N($V80)-N($R80)),2))</f>
        <v/>
      </c>
      <c r="X80" s="12" t="n"/>
      <c r="Y80" s="12" t="n"/>
      <c r="Z80" s="20" t="n"/>
      <c r="AA80" s="18">
        <f>IF($D80="","",IF(AND($C80&lt;&gt;"",ISNA(MATCH($C80,状态表,0))),"※状态不在【资料】里",IF(AND($G80&lt;&gt;"",$H80&lt;&gt;"",$H80&lt;$G80),"※到期日早于当票日期",IF(AND($F80&lt;&gt;"",COUNTIF($F$4:$F$123,$F80)&gt;1),"※当票号在本表里出现了不止一次",IF(AND(N($U80)&gt;0,N($T80)=0),"※填了实际付息日但没填应付息日","")))))</f>
        <v/>
      </c>
    </row>
    <row r="81">
      <c r="A81" s="18">
        <f>IF($D81="","",COUNTA($D$4:$D81))</f>
        <v/>
      </c>
      <c r="B81" s="12" t="n"/>
      <c r="C81" s="12" t="n"/>
      <c r="D81" s="12" t="n"/>
      <c r="E81" s="12" t="n"/>
      <c r="F81" s="12" t="n"/>
      <c r="G81" s="19" t="n"/>
      <c r="H81" s="19" t="n"/>
      <c r="I81" s="19" t="n"/>
      <c r="J81" s="20" t="n"/>
      <c r="K81" s="21" t="n"/>
      <c r="L81" s="20" t="n"/>
      <c r="M81" s="20" t="n"/>
      <c r="N81" s="20" t="n"/>
      <c r="O81" s="20" t="n"/>
      <c r="P81" s="20" t="n"/>
      <c r="Q81" s="20" t="n"/>
      <c r="R81" s="20" t="n"/>
      <c r="S81" s="22">
        <f>IF($D81="","",ROUND(N($N81)+N($O81)+N($P81)+N($Q81)+N($R81),2))</f>
        <v/>
      </c>
      <c r="T81" s="19" t="n"/>
      <c r="U81" s="19" t="n"/>
      <c r="V81" s="23">
        <f>IF($D81="","",IF(OR($T81="",$U81=""),0,MAX(0,INT($U81)-INT($T81))))</f>
        <v/>
      </c>
      <c r="W81" s="22">
        <f>IF($D81="","",ROUND(MAX(0,N($J81)*日滞纳金率*N($V81)-N($R81)),2))</f>
        <v/>
      </c>
      <c r="X81" s="12" t="n"/>
      <c r="Y81" s="12" t="n"/>
      <c r="Z81" s="20" t="n"/>
      <c r="AA81" s="18">
        <f>IF($D81="","",IF(AND($C81&lt;&gt;"",ISNA(MATCH($C81,状态表,0))),"※状态不在【资料】里",IF(AND($G81&lt;&gt;"",$H81&lt;&gt;"",$H81&lt;$G81),"※到期日早于当票日期",IF(AND($F81&lt;&gt;"",COUNTIF($F$4:$F$123,$F81)&gt;1),"※当票号在本表里出现了不止一次",IF(AND(N($U81)&gt;0,N($T81)=0),"※填了实际付息日但没填应付息日","")))))</f>
        <v/>
      </c>
    </row>
    <row r="82">
      <c r="A82" s="18">
        <f>IF($D82="","",COUNTA($D$4:$D82))</f>
        <v/>
      </c>
      <c r="B82" s="12" t="n"/>
      <c r="C82" s="12" t="n"/>
      <c r="D82" s="12" t="n"/>
      <c r="E82" s="12" t="n"/>
      <c r="F82" s="12" t="n"/>
      <c r="G82" s="19" t="n"/>
      <c r="H82" s="19" t="n"/>
      <c r="I82" s="19" t="n"/>
      <c r="J82" s="20" t="n"/>
      <c r="K82" s="21" t="n"/>
      <c r="L82" s="20" t="n"/>
      <c r="M82" s="20" t="n"/>
      <c r="N82" s="20" t="n"/>
      <c r="O82" s="20" t="n"/>
      <c r="P82" s="20" t="n"/>
      <c r="Q82" s="20" t="n"/>
      <c r="R82" s="20" t="n"/>
      <c r="S82" s="22">
        <f>IF($D82="","",ROUND(N($N82)+N($O82)+N($P82)+N($Q82)+N($R82),2))</f>
        <v/>
      </c>
      <c r="T82" s="19" t="n"/>
      <c r="U82" s="19" t="n"/>
      <c r="V82" s="23">
        <f>IF($D82="","",IF(OR($T82="",$U82=""),0,MAX(0,INT($U82)-INT($T82))))</f>
        <v/>
      </c>
      <c r="W82" s="22">
        <f>IF($D82="","",ROUND(MAX(0,N($J82)*日滞纳金率*N($V82)-N($R82)),2))</f>
        <v/>
      </c>
      <c r="X82" s="12" t="n"/>
      <c r="Y82" s="12" t="n"/>
      <c r="Z82" s="20" t="n"/>
      <c r="AA82" s="18">
        <f>IF($D82="","",IF(AND($C82&lt;&gt;"",ISNA(MATCH($C82,状态表,0))),"※状态不在【资料】里",IF(AND($G82&lt;&gt;"",$H82&lt;&gt;"",$H82&lt;$G82),"※到期日早于当票日期",IF(AND($F82&lt;&gt;"",COUNTIF($F$4:$F$123,$F82)&gt;1),"※当票号在本表里出现了不止一次",IF(AND(N($U82)&gt;0,N($T82)=0),"※填了实际付息日但没填应付息日","")))))</f>
        <v/>
      </c>
    </row>
    <row r="83">
      <c r="A83" s="18">
        <f>IF($D83="","",COUNTA($D$4:$D83))</f>
        <v/>
      </c>
      <c r="B83" s="12" t="n"/>
      <c r="C83" s="12" t="n"/>
      <c r="D83" s="12" t="n"/>
      <c r="E83" s="12" t="n"/>
      <c r="F83" s="12" t="n"/>
      <c r="G83" s="19" t="n"/>
      <c r="H83" s="19" t="n"/>
      <c r="I83" s="19" t="n"/>
      <c r="J83" s="20" t="n"/>
      <c r="K83" s="21" t="n"/>
      <c r="L83" s="20" t="n"/>
      <c r="M83" s="20" t="n"/>
      <c r="N83" s="20" t="n"/>
      <c r="O83" s="20" t="n"/>
      <c r="P83" s="20" t="n"/>
      <c r="Q83" s="20" t="n"/>
      <c r="R83" s="20" t="n"/>
      <c r="S83" s="22">
        <f>IF($D83="","",ROUND(N($N83)+N($O83)+N($P83)+N($Q83)+N($R83),2))</f>
        <v/>
      </c>
      <c r="T83" s="19" t="n"/>
      <c r="U83" s="19" t="n"/>
      <c r="V83" s="23">
        <f>IF($D83="","",IF(OR($T83="",$U83=""),0,MAX(0,INT($U83)-INT($T83))))</f>
        <v/>
      </c>
      <c r="W83" s="22">
        <f>IF($D83="","",ROUND(MAX(0,N($J83)*日滞纳金率*N($V83)-N($R83)),2))</f>
        <v/>
      </c>
      <c r="X83" s="12" t="n"/>
      <c r="Y83" s="12" t="n"/>
      <c r="Z83" s="20" t="n"/>
      <c r="AA83" s="18">
        <f>IF($D83="","",IF(AND($C83&lt;&gt;"",ISNA(MATCH($C83,状态表,0))),"※状态不在【资料】里",IF(AND($G83&lt;&gt;"",$H83&lt;&gt;"",$H83&lt;$G83),"※到期日早于当票日期",IF(AND($F83&lt;&gt;"",COUNTIF($F$4:$F$123,$F83)&gt;1),"※当票号在本表里出现了不止一次",IF(AND(N($U83)&gt;0,N($T83)=0),"※填了实际付息日但没填应付息日","")))))</f>
        <v/>
      </c>
    </row>
    <row r="84">
      <c r="A84" s="18">
        <f>IF($D84="","",COUNTA($D$4:$D84))</f>
        <v/>
      </c>
      <c r="B84" s="12" t="n"/>
      <c r="C84" s="12" t="n"/>
      <c r="D84" s="12" t="n"/>
      <c r="E84" s="12" t="n"/>
      <c r="F84" s="12" t="n"/>
      <c r="G84" s="19" t="n"/>
      <c r="H84" s="19" t="n"/>
      <c r="I84" s="19" t="n"/>
      <c r="J84" s="20" t="n"/>
      <c r="K84" s="21" t="n"/>
      <c r="L84" s="20" t="n"/>
      <c r="M84" s="20" t="n"/>
      <c r="N84" s="20" t="n"/>
      <c r="O84" s="20" t="n"/>
      <c r="P84" s="20" t="n"/>
      <c r="Q84" s="20" t="n"/>
      <c r="R84" s="20" t="n"/>
      <c r="S84" s="22">
        <f>IF($D84="","",ROUND(N($N84)+N($O84)+N($P84)+N($Q84)+N($R84),2))</f>
        <v/>
      </c>
      <c r="T84" s="19" t="n"/>
      <c r="U84" s="19" t="n"/>
      <c r="V84" s="23">
        <f>IF($D84="","",IF(OR($T84="",$U84=""),0,MAX(0,INT($U84)-INT($T84))))</f>
        <v/>
      </c>
      <c r="W84" s="22">
        <f>IF($D84="","",ROUND(MAX(0,N($J84)*日滞纳金率*N($V84)-N($R84)),2))</f>
        <v/>
      </c>
      <c r="X84" s="12" t="n"/>
      <c r="Y84" s="12" t="n"/>
      <c r="Z84" s="20" t="n"/>
      <c r="AA84" s="18">
        <f>IF($D84="","",IF(AND($C84&lt;&gt;"",ISNA(MATCH($C84,状态表,0))),"※状态不在【资料】里",IF(AND($G84&lt;&gt;"",$H84&lt;&gt;"",$H84&lt;$G84),"※到期日早于当票日期",IF(AND($F84&lt;&gt;"",COUNTIF($F$4:$F$123,$F84)&gt;1),"※当票号在本表里出现了不止一次",IF(AND(N($U84)&gt;0,N($T84)=0),"※填了实际付息日但没填应付息日","")))))</f>
        <v/>
      </c>
    </row>
    <row r="85">
      <c r="A85" s="18">
        <f>IF($D85="","",COUNTA($D$4:$D85))</f>
        <v/>
      </c>
      <c r="B85" s="12" t="n"/>
      <c r="C85" s="12" t="n"/>
      <c r="D85" s="12" t="n"/>
      <c r="E85" s="12" t="n"/>
      <c r="F85" s="12" t="n"/>
      <c r="G85" s="19" t="n"/>
      <c r="H85" s="19" t="n"/>
      <c r="I85" s="19" t="n"/>
      <c r="J85" s="20" t="n"/>
      <c r="K85" s="21" t="n"/>
      <c r="L85" s="20" t="n"/>
      <c r="M85" s="20" t="n"/>
      <c r="N85" s="20" t="n"/>
      <c r="O85" s="20" t="n"/>
      <c r="P85" s="20" t="n"/>
      <c r="Q85" s="20" t="n"/>
      <c r="R85" s="20" t="n"/>
      <c r="S85" s="22">
        <f>IF($D85="","",ROUND(N($N85)+N($O85)+N($P85)+N($Q85)+N($R85),2))</f>
        <v/>
      </c>
      <c r="T85" s="19" t="n"/>
      <c r="U85" s="19" t="n"/>
      <c r="V85" s="23">
        <f>IF($D85="","",IF(OR($T85="",$U85=""),0,MAX(0,INT($U85)-INT($T85))))</f>
        <v/>
      </c>
      <c r="W85" s="22">
        <f>IF($D85="","",ROUND(MAX(0,N($J85)*日滞纳金率*N($V85)-N($R85)),2))</f>
        <v/>
      </c>
      <c r="X85" s="12" t="n"/>
      <c r="Y85" s="12" t="n"/>
      <c r="Z85" s="20" t="n"/>
      <c r="AA85" s="18">
        <f>IF($D85="","",IF(AND($C85&lt;&gt;"",ISNA(MATCH($C85,状态表,0))),"※状态不在【资料】里",IF(AND($G85&lt;&gt;"",$H85&lt;&gt;"",$H85&lt;$G85),"※到期日早于当票日期",IF(AND($F85&lt;&gt;"",COUNTIF($F$4:$F$123,$F85)&gt;1),"※当票号在本表里出现了不止一次",IF(AND(N($U85)&gt;0,N($T85)=0),"※填了实际付息日但没填应付息日","")))))</f>
        <v/>
      </c>
    </row>
    <row r="86">
      <c r="A86" s="18">
        <f>IF($D86="","",COUNTA($D$4:$D86))</f>
        <v/>
      </c>
      <c r="B86" s="12" t="n"/>
      <c r="C86" s="12" t="n"/>
      <c r="D86" s="12" t="n"/>
      <c r="E86" s="12" t="n"/>
      <c r="F86" s="12" t="n"/>
      <c r="G86" s="19" t="n"/>
      <c r="H86" s="19" t="n"/>
      <c r="I86" s="19" t="n"/>
      <c r="J86" s="20" t="n"/>
      <c r="K86" s="21" t="n"/>
      <c r="L86" s="20" t="n"/>
      <c r="M86" s="20" t="n"/>
      <c r="N86" s="20" t="n"/>
      <c r="O86" s="20" t="n"/>
      <c r="P86" s="20" t="n"/>
      <c r="Q86" s="20" t="n"/>
      <c r="R86" s="20" t="n"/>
      <c r="S86" s="22">
        <f>IF($D86="","",ROUND(N($N86)+N($O86)+N($P86)+N($Q86)+N($R86),2))</f>
        <v/>
      </c>
      <c r="T86" s="19" t="n"/>
      <c r="U86" s="19" t="n"/>
      <c r="V86" s="23">
        <f>IF($D86="","",IF(OR($T86="",$U86=""),0,MAX(0,INT($U86)-INT($T86))))</f>
        <v/>
      </c>
      <c r="W86" s="22">
        <f>IF($D86="","",ROUND(MAX(0,N($J86)*日滞纳金率*N($V86)-N($R86)),2))</f>
        <v/>
      </c>
      <c r="X86" s="12" t="n"/>
      <c r="Y86" s="12" t="n"/>
      <c r="Z86" s="20" t="n"/>
      <c r="AA86" s="18">
        <f>IF($D86="","",IF(AND($C86&lt;&gt;"",ISNA(MATCH($C86,状态表,0))),"※状态不在【资料】里",IF(AND($G86&lt;&gt;"",$H86&lt;&gt;"",$H86&lt;$G86),"※到期日早于当票日期",IF(AND($F86&lt;&gt;"",COUNTIF($F$4:$F$123,$F86)&gt;1),"※当票号在本表里出现了不止一次",IF(AND(N($U86)&gt;0,N($T86)=0),"※填了实际付息日但没填应付息日","")))))</f>
        <v/>
      </c>
    </row>
    <row r="87">
      <c r="A87" s="18">
        <f>IF($D87="","",COUNTA($D$4:$D87))</f>
        <v/>
      </c>
      <c r="B87" s="12" t="n"/>
      <c r="C87" s="12" t="n"/>
      <c r="D87" s="12" t="n"/>
      <c r="E87" s="12" t="n"/>
      <c r="F87" s="12" t="n"/>
      <c r="G87" s="19" t="n"/>
      <c r="H87" s="19" t="n"/>
      <c r="I87" s="19" t="n"/>
      <c r="J87" s="20" t="n"/>
      <c r="K87" s="21" t="n"/>
      <c r="L87" s="20" t="n"/>
      <c r="M87" s="20" t="n"/>
      <c r="N87" s="20" t="n"/>
      <c r="O87" s="20" t="n"/>
      <c r="P87" s="20" t="n"/>
      <c r="Q87" s="20" t="n"/>
      <c r="R87" s="20" t="n"/>
      <c r="S87" s="22">
        <f>IF($D87="","",ROUND(N($N87)+N($O87)+N($P87)+N($Q87)+N($R87),2))</f>
        <v/>
      </c>
      <c r="T87" s="19" t="n"/>
      <c r="U87" s="19" t="n"/>
      <c r="V87" s="23">
        <f>IF($D87="","",IF(OR($T87="",$U87=""),0,MAX(0,INT($U87)-INT($T87))))</f>
        <v/>
      </c>
      <c r="W87" s="22">
        <f>IF($D87="","",ROUND(MAX(0,N($J87)*日滞纳金率*N($V87)-N($R87)),2))</f>
        <v/>
      </c>
      <c r="X87" s="12" t="n"/>
      <c r="Y87" s="12" t="n"/>
      <c r="Z87" s="20" t="n"/>
      <c r="AA87" s="18">
        <f>IF($D87="","",IF(AND($C87&lt;&gt;"",ISNA(MATCH($C87,状态表,0))),"※状态不在【资料】里",IF(AND($G87&lt;&gt;"",$H87&lt;&gt;"",$H87&lt;$G87),"※到期日早于当票日期",IF(AND($F87&lt;&gt;"",COUNTIF($F$4:$F$123,$F87)&gt;1),"※当票号在本表里出现了不止一次",IF(AND(N($U87)&gt;0,N($T87)=0),"※填了实际付息日但没填应付息日","")))))</f>
        <v/>
      </c>
    </row>
    <row r="88">
      <c r="A88" s="18">
        <f>IF($D88="","",COUNTA($D$4:$D88))</f>
        <v/>
      </c>
      <c r="B88" s="12" t="n"/>
      <c r="C88" s="12" t="n"/>
      <c r="D88" s="12" t="n"/>
      <c r="E88" s="12" t="n"/>
      <c r="F88" s="12" t="n"/>
      <c r="G88" s="19" t="n"/>
      <c r="H88" s="19" t="n"/>
      <c r="I88" s="19" t="n"/>
      <c r="J88" s="20" t="n"/>
      <c r="K88" s="21" t="n"/>
      <c r="L88" s="20" t="n"/>
      <c r="M88" s="20" t="n"/>
      <c r="N88" s="20" t="n"/>
      <c r="O88" s="20" t="n"/>
      <c r="P88" s="20" t="n"/>
      <c r="Q88" s="20" t="n"/>
      <c r="R88" s="20" t="n"/>
      <c r="S88" s="22">
        <f>IF($D88="","",ROUND(N($N88)+N($O88)+N($P88)+N($Q88)+N($R88),2))</f>
        <v/>
      </c>
      <c r="T88" s="19" t="n"/>
      <c r="U88" s="19" t="n"/>
      <c r="V88" s="23">
        <f>IF($D88="","",IF(OR($T88="",$U88=""),0,MAX(0,INT($U88)-INT($T88))))</f>
        <v/>
      </c>
      <c r="W88" s="22">
        <f>IF($D88="","",ROUND(MAX(0,N($J88)*日滞纳金率*N($V88)-N($R88)),2))</f>
        <v/>
      </c>
      <c r="X88" s="12" t="n"/>
      <c r="Y88" s="12" t="n"/>
      <c r="Z88" s="20" t="n"/>
      <c r="AA88" s="18">
        <f>IF($D88="","",IF(AND($C88&lt;&gt;"",ISNA(MATCH($C88,状态表,0))),"※状态不在【资料】里",IF(AND($G88&lt;&gt;"",$H88&lt;&gt;"",$H88&lt;$G88),"※到期日早于当票日期",IF(AND($F88&lt;&gt;"",COUNTIF($F$4:$F$123,$F88)&gt;1),"※当票号在本表里出现了不止一次",IF(AND(N($U88)&gt;0,N($T88)=0),"※填了实际付息日但没填应付息日","")))))</f>
        <v/>
      </c>
    </row>
    <row r="89">
      <c r="A89" s="18">
        <f>IF($D89="","",COUNTA($D$4:$D89))</f>
        <v/>
      </c>
      <c r="B89" s="12" t="n"/>
      <c r="C89" s="12" t="n"/>
      <c r="D89" s="12" t="n"/>
      <c r="E89" s="12" t="n"/>
      <c r="F89" s="12" t="n"/>
      <c r="G89" s="19" t="n"/>
      <c r="H89" s="19" t="n"/>
      <c r="I89" s="19" t="n"/>
      <c r="J89" s="20" t="n"/>
      <c r="K89" s="21" t="n"/>
      <c r="L89" s="20" t="n"/>
      <c r="M89" s="20" t="n"/>
      <c r="N89" s="20" t="n"/>
      <c r="O89" s="20" t="n"/>
      <c r="P89" s="20" t="n"/>
      <c r="Q89" s="20" t="n"/>
      <c r="R89" s="20" t="n"/>
      <c r="S89" s="22">
        <f>IF($D89="","",ROUND(N($N89)+N($O89)+N($P89)+N($Q89)+N($R89),2))</f>
        <v/>
      </c>
      <c r="T89" s="19" t="n"/>
      <c r="U89" s="19" t="n"/>
      <c r="V89" s="23">
        <f>IF($D89="","",IF(OR($T89="",$U89=""),0,MAX(0,INT($U89)-INT($T89))))</f>
        <v/>
      </c>
      <c r="W89" s="22">
        <f>IF($D89="","",ROUND(MAX(0,N($J89)*日滞纳金率*N($V89)-N($R89)),2))</f>
        <v/>
      </c>
      <c r="X89" s="12" t="n"/>
      <c r="Y89" s="12" t="n"/>
      <c r="Z89" s="20" t="n"/>
      <c r="AA89" s="18">
        <f>IF($D89="","",IF(AND($C89&lt;&gt;"",ISNA(MATCH($C89,状态表,0))),"※状态不在【资料】里",IF(AND($G89&lt;&gt;"",$H89&lt;&gt;"",$H89&lt;$G89),"※到期日早于当票日期",IF(AND($F89&lt;&gt;"",COUNTIF($F$4:$F$123,$F89)&gt;1),"※当票号在本表里出现了不止一次",IF(AND(N($U89)&gt;0,N($T89)=0),"※填了实际付息日但没填应付息日","")))))</f>
        <v/>
      </c>
    </row>
    <row r="90">
      <c r="A90" s="18">
        <f>IF($D90="","",COUNTA($D$4:$D90))</f>
        <v/>
      </c>
      <c r="B90" s="12" t="n"/>
      <c r="C90" s="12" t="n"/>
      <c r="D90" s="12" t="n"/>
      <c r="E90" s="12" t="n"/>
      <c r="F90" s="12" t="n"/>
      <c r="G90" s="19" t="n"/>
      <c r="H90" s="19" t="n"/>
      <c r="I90" s="19" t="n"/>
      <c r="J90" s="20" t="n"/>
      <c r="K90" s="21" t="n"/>
      <c r="L90" s="20" t="n"/>
      <c r="M90" s="20" t="n"/>
      <c r="N90" s="20" t="n"/>
      <c r="O90" s="20" t="n"/>
      <c r="P90" s="20" t="n"/>
      <c r="Q90" s="20" t="n"/>
      <c r="R90" s="20" t="n"/>
      <c r="S90" s="22">
        <f>IF($D90="","",ROUND(N($N90)+N($O90)+N($P90)+N($Q90)+N($R90),2))</f>
        <v/>
      </c>
      <c r="T90" s="19" t="n"/>
      <c r="U90" s="19" t="n"/>
      <c r="V90" s="23">
        <f>IF($D90="","",IF(OR($T90="",$U90=""),0,MAX(0,INT($U90)-INT($T90))))</f>
        <v/>
      </c>
      <c r="W90" s="22">
        <f>IF($D90="","",ROUND(MAX(0,N($J90)*日滞纳金率*N($V90)-N($R90)),2))</f>
        <v/>
      </c>
      <c r="X90" s="12" t="n"/>
      <c r="Y90" s="12" t="n"/>
      <c r="Z90" s="20" t="n"/>
      <c r="AA90" s="18">
        <f>IF($D90="","",IF(AND($C90&lt;&gt;"",ISNA(MATCH($C90,状态表,0))),"※状态不在【资料】里",IF(AND($G90&lt;&gt;"",$H90&lt;&gt;"",$H90&lt;$G90),"※到期日早于当票日期",IF(AND($F90&lt;&gt;"",COUNTIF($F$4:$F$123,$F90)&gt;1),"※当票号在本表里出现了不止一次",IF(AND(N($U90)&gt;0,N($T90)=0),"※填了实际付息日但没填应付息日","")))))</f>
        <v/>
      </c>
    </row>
    <row r="91">
      <c r="A91" s="18">
        <f>IF($D91="","",COUNTA($D$4:$D91))</f>
        <v/>
      </c>
      <c r="B91" s="12" t="n"/>
      <c r="C91" s="12" t="n"/>
      <c r="D91" s="12" t="n"/>
      <c r="E91" s="12" t="n"/>
      <c r="F91" s="12" t="n"/>
      <c r="G91" s="19" t="n"/>
      <c r="H91" s="19" t="n"/>
      <c r="I91" s="19" t="n"/>
      <c r="J91" s="20" t="n"/>
      <c r="K91" s="21" t="n"/>
      <c r="L91" s="20" t="n"/>
      <c r="M91" s="20" t="n"/>
      <c r="N91" s="20" t="n"/>
      <c r="O91" s="20" t="n"/>
      <c r="P91" s="20" t="n"/>
      <c r="Q91" s="20" t="n"/>
      <c r="R91" s="20" t="n"/>
      <c r="S91" s="22">
        <f>IF($D91="","",ROUND(N($N91)+N($O91)+N($P91)+N($Q91)+N($R91),2))</f>
        <v/>
      </c>
      <c r="T91" s="19" t="n"/>
      <c r="U91" s="19" t="n"/>
      <c r="V91" s="23">
        <f>IF($D91="","",IF(OR($T91="",$U91=""),0,MAX(0,INT($U91)-INT($T91))))</f>
        <v/>
      </c>
      <c r="W91" s="22">
        <f>IF($D91="","",ROUND(MAX(0,N($J91)*日滞纳金率*N($V91)-N($R91)),2))</f>
        <v/>
      </c>
      <c r="X91" s="12" t="n"/>
      <c r="Y91" s="12" t="n"/>
      <c r="Z91" s="20" t="n"/>
      <c r="AA91" s="18">
        <f>IF($D91="","",IF(AND($C91&lt;&gt;"",ISNA(MATCH($C91,状态表,0))),"※状态不在【资料】里",IF(AND($G91&lt;&gt;"",$H91&lt;&gt;"",$H91&lt;$G91),"※到期日早于当票日期",IF(AND($F91&lt;&gt;"",COUNTIF($F$4:$F$123,$F91)&gt;1),"※当票号在本表里出现了不止一次",IF(AND(N($U91)&gt;0,N($T91)=0),"※填了实际付息日但没填应付息日","")))))</f>
        <v/>
      </c>
    </row>
    <row r="92">
      <c r="A92" s="18">
        <f>IF($D92="","",COUNTA($D$4:$D92))</f>
        <v/>
      </c>
      <c r="B92" s="12" t="n"/>
      <c r="C92" s="12" t="n"/>
      <c r="D92" s="12" t="n"/>
      <c r="E92" s="12" t="n"/>
      <c r="F92" s="12" t="n"/>
      <c r="G92" s="19" t="n"/>
      <c r="H92" s="19" t="n"/>
      <c r="I92" s="19" t="n"/>
      <c r="J92" s="20" t="n"/>
      <c r="K92" s="21" t="n"/>
      <c r="L92" s="20" t="n"/>
      <c r="M92" s="20" t="n"/>
      <c r="N92" s="20" t="n"/>
      <c r="O92" s="20" t="n"/>
      <c r="P92" s="20" t="n"/>
      <c r="Q92" s="20" t="n"/>
      <c r="R92" s="20" t="n"/>
      <c r="S92" s="22">
        <f>IF($D92="","",ROUND(N($N92)+N($O92)+N($P92)+N($Q92)+N($R92),2))</f>
        <v/>
      </c>
      <c r="T92" s="19" t="n"/>
      <c r="U92" s="19" t="n"/>
      <c r="V92" s="23">
        <f>IF($D92="","",IF(OR($T92="",$U92=""),0,MAX(0,INT($U92)-INT($T92))))</f>
        <v/>
      </c>
      <c r="W92" s="22">
        <f>IF($D92="","",ROUND(MAX(0,N($J92)*日滞纳金率*N($V92)-N($R92)),2))</f>
        <v/>
      </c>
      <c r="X92" s="12" t="n"/>
      <c r="Y92" s="12" t="n"/>
      <c r="Z92" s="20" t="n"/>
      <c r="AA92" s="18">
        <f>IF($D92="","",IF(AND($C92&lt;&gt;"",ISNA(MATCH($C92,状态表,0))),"※状态不在【资料】里",IF(AND($G92&lt;&gt;"",$H92&lt;&gt;"",$H92&lt;$G92),"※到期日早于当票日期",IF(AND($F92&lt;&gt;"",COUNTIF($F$4:$F$123,$F92)&gt;1),"※当票号在本表里出现了不止一次",IF(AND(N($U92)&gt;0,N($T92)=0),"※填了实际付息日但没填应付息日","")))))</f>
        <v/>
      </c>
    </row>
    <row r="93">
      <c r="A93" s="18">
        <f>IF($D93="","",COUNTA($D$4:$D93))</f>
        <v/>
      </c>
      <c r="B93" s="12" t="n"/>
      <c r="C93" s="12" t="n"/>
      <c r="D93" s="12" t="n"/>
      <c r="E93" s="12" t="n"/>
      <c r="F93" s="12" t="n"/>
      <c r="G93" s="19" t="n"/>
      <c r="H93" s="19" t="n"/>
      <c r="I93" s="19" t="n"/>
      <c r="J93" s="20" t="n"/>
      <c r="K93" s="21" t="n"/>
      <c r="L93" s="20" t="n"/>
      <c r="M93" s="20" t="n"/>
      <c r="N93" s="20" t="n"/>
      <c r="O93" s="20" t="n"/>
      <c r="P93" s="20" t="n"/>
      <c r="Q93" s="20" t="n"/>
      <c r="R93" s="20" t="n"/>
      <c r="S93" s="22">
        <f>IF($D93="","",ROUND(N($N93)+N($O93)+N($P93)+N($Q93)+N($R93),2))</f>
        <v/>
      </c>
      <c r="T93" s="19" t="n"/>
      <c r="U93" s="19" t="n"/>
      <c r="V93" s="23">
        <f>IF($D93="","",IF(OR($T93="",$U93=""),0,MAX(0,INT($U93)-INT($T93))))</f>
        <v/>
      </c>
      <c r="W93" s="22">
        <f>IF($D93="","",ROUND(MAX(0,N($J93)*日滞纳金率*N($V93)-N($R93)),2))</f>
        <v/>
      </c>
      <c r="X93" s="12" t="n"/>
      <c r="Y93" s="12" t="n"/>
      <c r="Z93" s="20" t="n"/>
      <c r="AA93" s="18">
        <f>IF($D93="","",IF(AND($C93&lt;&gt;"",ISNA(MATCH($C93,状态表,0))),"※状态不在【资料】里",IF(AND($G93&lt;&gt;"",$H93&lt;&gt;"",$H93&lt;$G93),"※到期日早于当票日期",IF(AND($F93&lt;&gt;"",COUNTIF($F$4:$F$123,$F93)&gt;1),"※当票号在本表里出现了不止一次",IF(AND(N($U93)&gt;0,N($T93)=0),"※填了实际付息日但没填应付息日","")))))</f>
        <v/>
      </c>
    </row>
    <row r="94">
      <c r="A94" s="18">
        <f>IF($D94="","",COUNTA($D$4:$D94))</f>
        <v/>
      </c>
      <c r="B94" s="12" t="n"/>
      <c r="C94" s="12" t="n"/>
      <c r="D94" s="12" t="n"/>
      <c r="E94" s="12" t="n"/>
      <c r="F94" s="12" t="n"/>
      <c r="G94" s="19" t="n"/>
      <c r="H94" s="19" t="n"/>
      <c r="I94" s="19" t="n"/>
      <c r="J94" s="20" t="n"/>
      <c r="K94" s="21" t="n"/>
      <c r="L94" s="20" t="n"/>
      <c r="M94" s="20" t="n"/>
      <c r="N94" s="20" t="n"/>
      <c r="O94" s="20" t="n"/>
      <c r="P94" s="20" t="n"/>
      <c r="Q94" s="20" t="n"/>
      <c r="R94" s="20" t="n"/>
      <c r="S94" s="22">
        <f>IF($D94="","",ROUND(N($N94)+N($O94)+N($P94)+N($Q94)+N($R94),2))</f>
        <v/>
      </c>
      <c r="T94" s="19" t="n"/>
      <c r="U94" s="19" t="n"/>
      <c r="V94" s="23">
        <f>IF($D94="","",IF(OR($T94="",$U94=""),0,MAX(0,INT($U94)-INT($T94))))</f>
        <v/>
      </c>
      <c r="W94" s="22">
        <f>IF($D94="","",ROUND(MAX(0,N($J94)*日滞纳金率*N($V94)-N($R94)),2))</f>
        <v/>
      </c>
      <c r="X94" s="12" t="n"/>
      <c r="Y94" s="12" t="n"/>
      <c r="Z94" s="20" t="n"/>
      <c r="AA94" s="18">
        <f>IF($D94="","",IF(AND($C94&lt;&gt;"",ISNA(MATCH($C94,状态表,0))),"※状态不在【资料】里",IF(AND($G94&lt;&gt;"",$H94&lt;&gt;"",$H94&lt;$G94),"※到期日早于当票日期",IF(AND($F94&lt;&gt;"",COUNTIF($F$4:$F$123,$F94)&gt;1),"※当票号在本表里出现了不止一次",IF(AND(N($U94)&gt;0,N($T94)=0),"※填了实际付息日但没填应付息日","")))))</f>
        <v/>
      </c>
    </row>
    <row r="95">
      <c r="A95" s="18">
        <f>IF($D95="","",COUNTA($D$4:$D95))</f>
        <v/>
      </c>
      <c r="B95" s="12" t="n"/>
      <c r="C95" s="12" t="n"/>
      <c r="D95" s="12" t="n"/>
      <c r="E95" s="12" t="n"/>
      <c r="F95" s="12" t="n"/>
      <c r="G95" s="19" t="n"/>
      <c r="H95" s="19" t="n"/>
      <c r="I95" s="19" t="n"/>
      <c r="J95" s="20" t="n"/>
      <c r="K95" s="21" t="n"/>
      <c r="L95" s="20" t="n"/>
      <c r="M95" s="20" t="n"/>
      <c r="N95" s="20" t="n"/>
      <c r="O95" s="20" t="n"/>
      <c r="P95" s="20" t="n"/>
      <c r="Q95" s="20" t="n"/>
      <c r="R95" s="20" t="n"/>
      <c r="S95" s="22">
        <f>IF($D95="","",ROUND(N($N95)+N($O95)+N($P95)+N($Q95)+N($R95),2))</f>
        <v/>
      </c>
      <c r="T95" s="19" t="n"/>
      <c r="U95" s="19" t="n"/>
      <c r="V95" s="23">
        <f>IF($D95="","",IF(OR($T95="",$U95=""),0,MAX(0,INT($U95)-INT($T95))))</f>
        <v/>
      </c>
      <c r="W95" s="22">
        <f>IF($D95="","",ROUND(MAX(0,N($J95)*日滞纳金率*N($V95)-N($R95)),2))</f>
        <v/>
      </c>
      <c r="X95" s="12" t="n"/>
      <c r="Y95" s="12" t="n"/>
      <c r="Z95" s="20" t="n"/>
      <c r="AA95" s="18">
        <f>IF($D95="","",IF(AND($C95&lt;&gt;"",ISNA(MATCH($C95,状态表,0))),"※状态不在【资料】里",IF(AND($G95&lt;&gt;"",$H95&lt;&gt;"",$H95&lt;$G95),"※到期日早于当票日期",IF(AND($F95&lt;&gt;"",COUNTIF($F$4:$F$123,$F95)&gt;1),"※当票号在本表里出现了不止一次",IF(AND(N($U95)&gt;0,N($T95)=0),"※填了实际付息日但没填应付息日","")))))</f>
        <v/>
      </c>
    </row>
    <row r="96">
      <c r="A96" s="18">
        <f>IF($D96="","",COUNTA($D$4:$D96))</f>
        <v/>
      </c>
      <c r="B96" s="12" t="n"/>
      <c r="C96" s="12" t="n"/>
      <c r="D96" s="12" t="n"/>
      <c r="E96" s="12" t="n"/>
      <c r="F96" s="12" t="n"/>
      <c r="G96" s="19" t="n"/>
      <c r="H96" s="19" t="n"/>
      <c r="I96" s="19" t="n"/>
      <c r="J96" s="20" t="n"/>
      <c r="K96" s="21" t="n"/>
      <c r="L96" s="20" t="n"/>
      <c r="M96" s="20" t="n"/>
      <c r="N96" s="20" t="n"/>
      <c r="O96" s="20" t="n"/>
      <c r="P96" s="20" t="n"/>
      <c r="Q96" s="20" t="n"/>
      <c r="R96" s="20" t="n"/>
      <c r="S96" s="22">
        <f>IF($D96="","",ROUND(N($N96)+N($O96)+N($P96)+N($Q96)+N($R96),2))</f>
        <v/>
      </c>
      <c r="T96" s="19" t="n"/>
      <c r="U96" s="19" t="n"/>
      <c r="V96" s="23">
        <f>IF($D96="","",IF(OR($T96="",$U96=""),0,MAX(0,INT($U96)-INT($T96))))</f>
        <v/>
      </c>
      <c r="W96" s="22">
        <f>IF($D96="","",ROUND(MAX(0,N($J96)*日滞纳金率*N($V96)-N($R96)),2))</f>
        <v/>
      </c>
      <c r="X96" s="12" t="n"/>
      <c r="Y96" s="12" t="n"/>
      <c r="Z96" s="20" t="n"/>
      <c r="AA96" s="18">
        <f>IF($D96="","",IF(AND($C96&lt;&gt;"",ISNA(MATCH($C96,状态表,0))),"※状态不在【资料】里",IF(AND($G96&lt;&gt;"",$H96&lt;&gt;"",$H96&lt;$G96),"※到期日早于当票日期",IF(AND($F96&lt;&gt;"",COUNTIF($F$4:$F$123,$F96)&gt;1),"※当票号在本表里出现了不止一次",IF(AND(N($U96)&gt;0,N($T96)=0),"※填了实际付息日但没填应付息日","")))))</f>
        <v/>
      </c>
    </row>
    <row r="97">
      <c r="A97" s="18">
        <f>IF($D97="","",COUNTA($D$4:$D97))</f>
        <v/>
      </c>
      <c r="B97" s="12" t="n"/>
      <c r="C97" s="12" t="n"/>
      <c r="D97" s="12" t="n"/>
      <c r="E97" s="12" t="n"/>
      <c r="F97" s="12" t="n"/>
      <c r="G97" s="19" t="n"/>
      <c r="H97" s="19" t="n"/>
      <c r="I97" s="19" t="n"/>
      <c r="J97" s="20" t="n"/>
      <c r="K97" s="21" t="n"/>
      <c r="L97" s="20" t="n"/>
      <c r="M97" s="20" t="n"/>
      <c r="N97" s="20" t="n"/>
      <c r="O97" s="20" t="n"/>
      <c r="P97" s="20" t="n"/>
      <c r="Q97" s="20" t="n"/>
      <c r="R97" s="20" t="n"/>
      <c r="S97" s="22">
        <f>IF($D97="","",ROUND(N($N97)+N($O97)+N($P97)+N($Q97)+N($R97),2))</f>
        <v/>
      </c>
      <c r="T97" s="19" t="n"/>
      <c r="U97" s="19" t="n"/>
      <c r="V97" s="23">
        <f>IF($D97="","",IF(OR($T97="",$U97=""),0,MAX(0,INT($U97)-INT($T97))))</f>
        <v/>
      </c>
      <c r="W97" s="22">
        <f>IF($D97="","",ROUND(MAX(0,N($J97)*日滞纳金率*N($V97)-N($R97)),2))</f>
        <v/>
      </c>
      <c r="X97" s="12" t="n"/>
      <c r="Y97" s="12" t="n"/>
      <c r="Z97" s="20" t="n"/>
      <c r="AA97" s="18">
        <f>IF($D97="","",IF(AND($C97&lt;&gt;"",ISNA(MATCH($C97,状态表,0))),"※状态不在【资料】里",IF(AND($G97&lt;&gt;"",$H97&lt;&gt;"",$H97&lt;$G97),"※到期日早于当票日期",IF(AND($F97&lt;&gt;"",COUNTIF($F$4:$F$123,$F97)&gt;1),"※当票号在本表里出现了不止一次",IF(AND(N($U97)&gt;0,N($T97)=0),"※填了实际付息日但没填应付息日","")))))</f>
        <v/>
      </c>
    </row>
    <row r="98">
      <c r="A98" s="18">
        <f>IF($D98="","",COUNTA($D$4:$D98))</f>
        <v/>
      </c>
      <c r="B98" s="12" t="n"/>
      <c r="C98" s="12" t="n"/>
      <c r="D98" s="12" t="n"/>
      <c r="E98" s="12" t="n"/>
      <c r="F98" s="12" t="n"/>
      <c r="G98" s="19" t="n"/>
      <c r="H98" s="19" t="n"/>
      <c r="I98" s="19" t="n"/>
      <c r="J98" s="20" t="n"/>
      <c r="K98" s="21" t="n"/>
      <c r="L98" s="20" t="n"/>
      <c r="M98" s="20" t="n"/>
      <c r="N98" s="20" t="n"/>
      <c r="O98" s="20" t="n"/>
      <c r="P98" s="20" t="n"/>
      <c r="Q98" s="20" t="n"/>
      <c r="R98" s="20" t="n"/>
      <c r="S98" s="22">
        <f>IF($D98="","",ROUND(N($N98)+N($O98)+N($P98)+N($Q98)+N($R98),2))</f>
        <v/>
      </c>
      <c r="T98" s="19" t="n"/>
      <c r="U98" s="19" t="n"/>
      <c r="V98" s="23">
        <f>IF($D98="","",IF(OR($T98="",$U98=""),0,MAX(0,INT($U98)-INT($T98))))</f>
        <v/>
      </c>
      <c r="W98" s="22">
        <f>IF($D98="","",ROUND(MAX(0,N($J98)*日滞纳金率*N($V98)-N($R98)),2))</f>
        <v/>
      </c>
      <c r="X98" s="12" t="n"/>
      <c r="Y98" s="12" t="n"/>
      <c r="Z98" s="20" t="n"/>
      <c r="AA98" s="18">
        <f>IF($D98="","",IF(AND($C98&lt;&gt;"",ISNA(MATCH($C98,状态表,0))),"※状态不在【资料】里",IF(AND($G98&lt;&gt;"",$H98&lt;&gt;"",$H98&lt;$G98),"※到期日早于当票日期",IF(AND($F98&lt;&gt;"",COUNTIF($F$4:$F$123,$F98)&gt;1),"※当票号在本表里出现了不止一次",IF(AND(N($U98)&gt;0,N($T98)=0),"※填了实际付息日但没填应付息日","")))))</f>
        <v/>
      </c>
    </row>
    <row r="99">
      <c r="A99" s="18">
        <f>IF($D99="","",COUNTA($D$4:$D99))</f>
        <v/>
      </c>
      <c r="B99" s="12" t="n"/>
      <c r="C99" s="12" t="n"/>
      <c r="D99" s="12" t="n"/>
      <c r="E99" s="12" t="n"/>
      <c r="F99" s="12" t="n"/>
      <c r="G99" s="19" t="n"/>
      <c r="H99" s="19" t="n"/>
      <c r="I99" s="19" t="n"/>
      <c r="J99" s="20" t="n"/>
      <c r="K99" s="21" t="n"/>
      <c r="L99" s="20" t="n"/>
      <c r="M99" s="20" t="n"/>
      <c r="N99" s="20" t="n"/>
      <c r="O99" s="20" t="n"/>
      <c r="P99" s="20" t="n"/>
      <c r="Q99" s="20" t="n"/>
      <c r="R99" s="20" t="n"/>
      <c r="S99" s="22">
        <f>IF($D99="","",ROUND(N($N99)+N($O99)+N($P99)+N($Q99)+N($R99),2))</f>
        <v/>
      </c>
      <c r="T99" s="19" t="n"/>
      <c r="U99" s="19" t="n"/>
      <c r="V99" s="23">
        <f>IF($D99="","",IF(OR($T99="",$U99=""),0,MAX(0,INT($U99)-INT($T99))))</f>
        <v/>
      </c>
      <c r="W99" s="22">
        <f>IF($D99="","",ROUND(MAX(0,N($J99)*日滞纳金率*N($V99)-N($R99)),2))</f>
        <v/>
      </c>
      <c r="X99" s="12" t="n"/>
      <c r="Y99" s="12" t="n"/>
      <c r="Z99" s="20" t="n"/>
      <c r="AA99" s="18">
        <f>IF($D99="","",IF(AND($C99&lt;&gt;"",ISNA(MATCH($C99,状态表,0))),"※状态不在【资料】里",IF(AND($G99&lt;&gt;"",$H99&lt;&gt;"",$H99&lt;$G99),"※到期日早于当票日期",IF(AND($F99&lt;&gt;"",COUNTIF($F$4:$F$123,$F99)&gt;1),"※当票号在本表里出现了不止一次",IF(AND(N($U99)&gt;0,N($T99)=0),"※填了实际付息日但没填应付息日","")))))</f>
        <v/>
      </c>
    </row>
    <row r="100">
      <c r="A100" s="18">
        <f>IF($D100="","",COUNTA($D$4:$D100))</f>
        <v/>
      </c>
      <c r="B100" s="12" t="n"/>
      <c r="C100" s="12" t="n"/>
      <c r="D100" s="12" t="n"/>
      <c r="E100" s="12" t="n"/>
      <c r="F100" s="12" t="n"/>
      <c r="G100" s="19" t="n"/>
      <c r="H100" s="19" t="n"/>
      <c r="I100" s="19" t="n"/>
      <c r="J100" s="20" t="n"/>
      <c r="K100" s="21" t="n"/>
      <c r="L100" s="20" t="n"/>
      <c r="M100" s="20" t="n"/>
      <c r="N100" s="20" t="n"/>
      <c r="O100" s="20" t="n"/>
      <c r="P100" s="20" t="n"/>
      <c r="Q100" s="20" t="n"/>
      <c r="R100" s="20" t="n"/>
      <c r="S100" s="22">
        <f>IF($D100="","",ROUND(N($N100)+N($O100)+N($P100)+N($Q100)+N($R100),2))</f>
        <v/>
      </c>
      <c r="T100" s="19" t="n"/>
      <c r="U100" s="19" t="n"/>
      <c r="V100" s="23">
        <f>IF($D100="","",IF(OR($T100="",$U100=""),0,MAX(0,INT($U100)-INT($T100))))</f>
        <v/>
      </c>
      <c r="W100" s="22">
        <f>IF($D100="","",ROUND(MAX(0,N($J100)*日滞纳金率*N($V100)-N($R100)),2))</f>
        <v/>
      </c>
      <c r="X100" s="12" t="n"/>
      <c r="Y100" s="12" t="n"/>
      <c r="Z100" s="20" t="n"/>
      <c r="AA100" s="18">
        <f>IF($D100="","",IF(AND($C100&lt;&gt;"",ISNA(MATCH($C100,状态表,0))),"※状态不在【资料】里",IF(AND($G100&lt;&gt;"",$H100&lt;&gt;"",$H100&lt;$G100),"※到期日早于当票日期",IF(AND($F100&lt;&gt;"",COUNTIF($F$4:$F$123,$F100)&gt;1),"※当票号在本表里出现了不止一次",IF(AND(N($U100)&gt;0,N($T100)=0),"※填了实际付息日但没填应付息日","")))))</f>
        <v/>
      </c>
    </row>
    <row r="101">
      <c r="A101" s="18">
        <f>IF($D101="","",COUNTA($D$4:$D101))</f>
        <v/>
      </c>
      <c r="B101" s="12" t="n"/>
      <c r="C101" s="12" t="n"/>
      <c r="D101" s="12" t="n"/>
      <c r="E101" s="12" t="n"/>
      <c r="F101" s="12" t="n"/>
      <c r="G101" s="19" t="n"/>
      <c r="H101" s="19" t="n"/>
      <c r="I101" s="19" t="n"/>
      <c r="J101" s="20" t="n"/>
      <c r="K101" s="21" t="n"/>
      <c r="L101" s="20" t="n"/>
      <c r="M101" s="20" t="n"/>
      <c r="N101" s="20" t="n"/>
      <c r="O101" s="20" t="n"/>
      <c r="P101" s="20" t="n"/>
      <c r="Q101" s="20" t="n"/>
      <c r="R101" s="20" t="n"/>
      <c r="S101" s="22">
        <f>IF($D101="","",ROUND(N($N101)+N($O101)+N($P101)+N($Q101)+N($R101),2))</f>
        <v/>
      </c>
      <c r="T101" s="19" t="n"/>
      <c r="U101" s="19" t="n"/>
      <c r="V101" s="23">
        <f>IF($D101="","",IF(OR($T101="",$U101=""),0,MAX(0,INT($U101)-INT($T101))))</f>
        <v/>
      </c>
      <c r="W101" s="22">
        <f>IF($D101="","",ROUND(MAX(0,N($J101)*日滞纳金率*N($V101)-N($R101)),2))</f>
        <v/>
      </c>
      <c r="X101" s="12" t="n"/>
      <c r="Y101" s="12" t="n"/>
      <c r="Z101" s="20" t="n"/>
      <c r="AA101" s="18">
        <f>IF($D101="","",IF(AND($C101&lt;&gt;"",ISNA(MATCH($C101,状态表,0))),"※状态不在【资料】里",IF(AND($G101&lt;&gt;"",$H101&lt;&gt;"",$H101&lt;$G101),"※到期日早于当票日期",IF(AND($F101&lt;&gt;"",COUNTIF($F$4:$F$123,$F101)&gt;1),"※当票号在本表里出现了不止一次",IF(AND(N($U101)&gt;0,N($T101)=0),"※填了实际付息日但没填应付息日","")))))</f>
        <v/>
      </c>
    </row>
    <row r="102">
      <c r="A102" s="18">
        <f>IF($D102="","",COUNTA($D$4:$D102))</f>
        <v/>
      </c>
      <c r="B102" s="12" t="n"/>
      <c r="C102" s="12" t="n"/>
      <c r="D102" s="12" t="n"/>
      <c r="E102" s="12" t="n"/>
      <c r="F102" s="12" t="n"/>
      <c r="G102" s="19" t="n"/>
      <c r="H102" s="19" t="n"/>
      <c r="I102" s="19" t="n"/>
      <c r="J102" s="20" t="n"/>
      <c r="K102" s="21" t="n"/>
      <c r="L102" s="20" t="n"/>
      <c r="M102" s="20" t="n"/>
      <c r="N102" s="20" t="n"/>
      <c r="O102" s="20" t="n"/>
      <c r="P102" s="20" t="n"/>
      <c r="Q102" s="20" t="n"/>
      <c r="R102" s="20" t="n"/>
      <c r="S102" s="22">
        <f>IF($D102="","",ROUND(N($N102)+N($O102)+N($P102)+N($Q102)+N($R102),2))</f>
        <v/>
      </c>
      <c r="T102" s="19" t="n"/>
      <c r="U102" s="19" t="n"/>
      <c r="V102" s="23">
        <f>IF($D102="","",IF(OR($T102="",$U102=""),0,MAX(0,INT($U102)-INT($T102))))</f>
        <v/>
      </c>
      <c r="W102" s="22">
        <f>IF($D102="","",ROUND(MAX(0,N($J102)*日滞纳金率*N($V102)-N($R102)),2))</f>
        <v/>
      </c>
      <c r="X102" s="12" t="n"/>
      <c r="Y102" s="12" t="n"/>
      <c r="Z102" s="20" t="n"/>
      <c r="AA102" s="18">
        <f>IF($D102="","",IF(AND($C102&lt;&gt;"",ISNA(MATCH($C102,状态表,0))),"※状态不在【资料】里",IF(AND($G102&lt;&gt;"",$H102&lt;&gt;"",$H102&lt;$G102),"※到期日早于当票日期",IF(AND($F102&lt;&gt;"",COUNTIF($F$4:$F$123,$F102)&gt;1),"※当票号在本表里出现了不止一次",IF(AND(N($U102)&gt;0,N($T102)=0),"※填了实际付息日但没填应付息日","")))))</f>
        <v/>
      </c>
    </row>
    <row r="103">
      <c r="A103" s="18">
        <f>IF($D103="","",COUNTA($D$4:$D103))</f>
        <v/>
      </c>
      <c r="B103" s="12" t="n"/>
      <c r="C103" s="12" t="n"/>
      <c r="D103" s="12" t="n"/>
      <c r="E103" s="12" t="n"/>
      <c r="F103" s="12" t="n"/>
      <c r="G103" s="19" t="n"/>
      <c r="H103" s="19" t="n"/>
      <c r="I103" s="19" t="n"/>
      <c r="J103" s="20" t="n"/>
      <c r="K103" s="21" t="n"/>
      <c r="L103" s="20" t="n"/>
      <c r="M103" s="20" t="n"/>
      <c r="N103" s="20" t="n"/>
      <c r="O103" s="20" t="n"/>
      <c r="P103" s="20" t="n"/>
      <c r="Q103" s="20" t="n"/>
      <c r="R103" s="20" t="n"/>
      <c r="S103" s="22">
        <f>IF($D103="","",ROUND(N($N103)+N($O103)+N($P103)+N($Q103)+N($R103),2))</f>
        <v/>
      </c>
      <c r="T103" s="19" t="n"/>
      <c r="U103" s="19" t="n"/>
      <c r="V103" s="23">
        <f>IF($D103="","",IF(OR($T103="",$U103=""),0,MAX(0,INT($U103)-INT($T103))))</f>
        <v/>
      </c>
      <c r="W103" s="22">
        <f>IF($D103="","",ROUND(MAX(0,N($J103)*日滞纳金率*N($V103)-N($R103)),2))</f>
        <v/>
      </c>
      <c r="X103" s="12" t="n"/>
      <c r="Y103" s="12" t="n"/>
      <c r="Z103" s="20" t="n"/>
      <c r="AA103" s="18">
        <f>IF($D103="","",IF(AND($C103&lt;&gt;"",ISNA(MATCH($C103,状态表,0))),"※状态不在【资料】里",IF(AND($G103&lt;&gt;"",$H103&lt;&gt;"",$H103&lt;$G103),"※到期日早于当票日期",IF(AND($F103&lt;&gt;"",COUNTIF($F$4:$F$123,$F103)&gt;1),"※当票号在本表里出现了不止一次",IF(AND(N($U103)&gt;0,N($T103)=0),"※填了实际付息日但没填应付息日","")))))</f>
        <v/>
      </c>
    </row>
    <row r="104">
      <c r="A104" s="18">
        <f>IF($D104="","",COUNTA($D$4:$D104))</f>
        <v/>
      </c>
      <c r="B104" s="12" t="n"/>
      <c r="C104" s="12" t="n"/>
      <c r="D104" s="12" t="n"/>
      <c r="E104" s="12" t="n"/>
      <c r="F104" s="12" t="n"/>
      <c r="G104" s="19" t="n"/>
      <c r="H104" s="19" t="n"/>
      <c r="I104" s="19" t="n"/>
      <c r="J104" s="20" t="n"/>
      <c r="K104" s="21" t="n"/>
      <c r="L104" s="20" t="n"/>
      <c r="M104" s="20" t="n"/>
      <c r="N104" s="20" t="n"/>
      <c r="O104" s="20" t="n"/>
      <c r="P104" s="20" t="n"/>
      <c r="Q104" s="20" t="n"/>
      <c r="R104" s="20" t="n"/>
      <c r="S104" s="22">
        <f>IF($D104="","",ROUND(N($N104)+N($O104)+N($P104)+N($Q104)+N($R104),2))</f>
        <v/>
      </c>
      <c r="T104" s="19" t="n"/>
      <c r="U104" s="19" t="n"/>
      <c r="V104" s="23">
        <f>IF($D104="","",IF(OR($T104="",$U104=""),0,MAX(0,INT($U104)-INT($T104))))</f>
        <v/>
      </c>
      <c r="W104" s="22">
        <f>IF($D104="","",ROUND(MAX(0,N($J104)*日滞纳金率*N($V104)-N($R104)),2))</f>
        <v/>
      </c>
      <c r="X104" s="12" t="n"/>
      <c r="Y104" s="12" t="n"/>
      <c r="Z104" s="20" t="n"/>
      <c r="AA104" s="18">
        <f>IF($D104="","",IF(AND($C104&lt;&gt;"",ISNA(MATCH($C104,状态表,0))),"※状态不在【资料】里",IF(AND($G104&lt;&gt;"",$H104&lt;&gt;"",$H104&lt;$G104),"※到期日早于当票日期",IF(AND($F104&lt;&gt;"",COUNTIF($F$4:$F$123,$F104)&gt;1),"※当票号在本表里出现了不止一次",IF(AND(N($U104)&gt;0,N($T104)=0),"※填了实际付息日但没填应付息日","")))))</f>
        <v/>
      </c>
    </row>
    <row r="105">
      <c r="A105" s="18">
        <f>IF($D105="","",COUNTA($D$4:$D105))</f>
        <v/>
      </c>
      <c r="B105" s="12" t="n"/>
      <c r="C105" s="12" t="n"/>
      <c r="D105" s="12" t="n"/>
      <c r="E105" s="12" t="n"/>
      <c r="F105" s="12" t="n"/>
      <c r="G105" s="19" t="n"/>
      <c r="H105" s="19" t="n"/>
      <c r="I105" s="19" t="n"/>
      <c r="J105" s="20" t="n"/>
      <c r="K105" s="21" t="n"/>
      <c r="L105" s="20" t="n"/>
      <c r="M105" s="20" t="n"/>
      <c r="N105" s="20" t="n"/>
      <c r="O105" s="20" t="n"/>
      <c r="P105" s="20" t="n"/>
      <c r="Q105" s="20" t="n"/>
      <c r="R105" s="20" t="n"/>
      <c r="S105" s="22">
        <f>IF($D105="","",ROUND(N($N105)+N($O105)+N($P105)+N($Q105)+N($R105),2))</f>
        <v/>
      </c>
      <c r="T105" s="19" t="n"/>
      <c r="U105" s="19" t="n"/>
      <c r="V105" s="23">
        <f>IF($D105="","",IF(OR($T105="",$U105=""),0,MAX(0,INT($U105)-INT($T105))))</f>
        <v/>
      </c>
      <c r="W105" s="22">
        <f>IF($D105="","",ROUND(MAX(0,N($J105)*日滞纳金率*N($V105)-N($R105)),2))</f>
        <v/>
      </c>
      <c r="X105" s="12" t="n"/>
      <c r="Y105" s="12" t="n"/>
      <c r="Z105" s="20" t="n"/>
      <c r="AA105" s="18">
        <f>IF($D105="","",IF(AND($C105&lt;&gt;"",ISNA(MATCH($C105,状态表,0))),"※状态不在【资料】里",IF(AND($G105&lt;&gt;"",$H105&lt;&gt;"",$H105&lt;$G105),"※到期日早于当票日期",IF(AND($F105&lt;&gt;"",COUNTIF($F$4:$F$123,$F105)&gt;1),"※当票号在本表里出现了不止一次",IF(AND(N($U105)&gt;0,N($T105)=0),"※填了实际付息日但没填应付息日","")))))</f>
        <v/>
      </c>
    </row>
    <row r="106">
      <c r="A106" s="18">
        <f>IF($D106="","",COUNTA($D$4:$D106))</f>
        <v/>
      </c>
      <c r="B106" s="12" t="n"/>
      <c r="C106" s="12" t="n"/>
      <c r="D106" s="12" t="n"/>
      <c r="E106" s="12" t="n"/>
      <c r="F106" s="12" t="n"/>
      <c r="G106" s="19" t="n"/>
      <c r="H106" s="19" t="n"/>
      <c r="I106" s="19" t="n"/>
      <c r="J106" s="20" t="n"/>
      <c r="K106" s="21" t="n"/>
      <c r="L106" s="20" t="n"/>
      <c r="M106" s="20" t="n"/>
      <c r="N106" s="20" t="n"/>
      <c r="O106" s="20" t="n"/>
      <c r="P106" s="20" t="n"/>
      <c r="Q106" s="20" t="n"/>
      <c r="R106" s="20" t="n"/>
      <c r="S106" s="22">
        <f>IF($D106="","",ROUND(N($N106)+N($O106)+N($P106)+N($Q106)+N($R106),2))</f>
        <v/>
      </c>
      <c r="T106" s="19" t="n"/>
      <c r="U106" s="19" t="n"/>
      <c r="V106" s="23">
        <f>IF($D106="","",IF(OR($T106="",$U106=""),0,MAX(0,INT($U106)-INT($T106))))</f>
        <v/>
      </c>
      <c r="W106" s="22">
        <f>IF($D106="","",ROUND(MAX(0,N($J106)*日滞纳金率*N($V106)-N($R106)),2))</f>
        <v/>
      </c>
      <c r="X106" s="12" t="n"/>
      <c r="Y106" s="12" t="n"/>
      <c r="Z106" s="20" t="n"/>
      <c r="AA106" s="18">
        <f>IF($D106="","",IF(AND($C106&lt;&gt;"",ISNA(MATCH($C106,状态表,0))),"※状态不在【资料】里",IF(AND($G106&lt;&gt;"",$H106&lt;&gt;"",$H106&lt;$G106),"※到期日早于当票日期",IF(AND($F106&lt;&gt;"",COUNTIF($F$4:$F$123,$F106)&gt;1),"※当票号在本表里出现了不止一次",IF(AND(N($U106)&gt;0,N($T106)=0),"※填了实际付息日但没填应付息日","")))))</f>
        <v/>
      </c>
    </row>
    <row r="107">
      <c r="A107" s="18">
        <f>IF($D107="","",COUNTA($D$4:$D107))</f>
        <v/>
      </c>
      <c r="B107" s="12" t="n"/>
      <c r="C107" s="12" t="n"/>
      <c r="D107" s="12" t="n"/>
      <c r="E107" s="12" t="n"/>
      <c r="F107" s="12" t="n"/>
      <c r="G107" s="19" t="n"/>
      <c r="H107" s="19" t="n"/>
      <c r="I107" s="19" t="n"/>
      <c r="J107" s="20" t="n"/>
      <c r="K107" s="21" t="n"/>
      <c r="L107" s="20" t="n"/>
      <c r="M107" s="20" t="n"/>
      <c r="N107" s="20" t="n"/>
      <c r="O107" s="20" t="n"/>
      <c r="P107" s="20" t="n"/>
      <c r="Q107" s="20" t="n"/>
      <c r="R107" s="20" t="n"/>
      <c r="S107" s="22">
        <f>IF($D107="","",ROUND(N($N107)+N($O107)+N($P107)+N($Q107)+N($R107),2))</f>
        <v/>
      </c>
      <c r="T107" s="19" t="n"/>
      <c r="U107" s="19" t="n"/>
      <c r="V107" s="23">
        <f>IF($D107="","",IF(OR($T107="",$U107=""),0,MAX(0,INT($U107)-INT($T107))))</f>
        <v/>
      </c>
      <c r="W107" s="22">
        <f>IF($D107="","",ROUND(MAX(0,N($J107)*日滞纳金率*N($V107)-N($R107)),2))</f>
        <v/>
      </c>
      <c r="X107" s="12" t="n"/>
      <c r="Y107" s="12" t="n"/>
      <c r="Z107" s="20" t="n"/>
      <c r="AA107" s="18">
        <f>IF($D107="","",IF(AND($C107&lt;&gt;"",ISNA(MATCH($C107,状态表,0))),"※状态不在【资料】里",IF(AND($G107&lt;&gt;"",$H107&lt;&gt;"",$H107&lt;$G107),"※到期日早于当票日期",IF(AND($F107&lt;&gt;"",COUNTIF($F$4:$F$123,$F107)&gt;1),"※当票号在本表里出现了不止一次",IF(AND(N($U107)&gt;0,N($T107)=0),"※填了实际付息日但没填应付息日","")))))</f>
        <v/>
      </c>
    </row>
    <row r="108">
      <c r="A108" s="18">
        <f>IF($D108="","",COUNTA($D$4:$D108))</f>
        <v/>
      </c>
      <c r="B108" s="12" t="n"/>
      <c r="C108" s="12" t="n"/>
      <c r="D108" s="12" t="n"/>
      <c r="E108" s="12" t="n"/>
      <c r="F108" s="12" t="n"/>
      <c r="G108" s="19" t="n"/>
      <c r="H108" s="19" t="n"/>
      <c r="I108" s="19" t="n"/>
      <c r="J108" s="20" t="n"/>
      <c r="K108" s="21" t="n"/>
      <c r="L108" s="20" t="n"/>
      <c r="M108" s="20" t="n"/>
      <c r="N108" s="20" t="n"/>
      <c r="O108" s="20" t="n"/>
      <c r="P108" s="20" t="n"/>
      <c r="Q108" s="20" t="n"/>
      <c r="R108" s="20" t="n"/>
      <c r="S108" s="22">
        <f>IF($D108="","",ROUND(N($N108)+N($O108)+N($P108)+N($Q108)+N($R108),2))</f>
        <v/>
      </c>
      <c r="T108" s="19" t="n"/>
      <c r="U108" s="19" t="n"/>
      <c r="V108" s="23">
        <f>IF($D108="","",IF(OR($T108="",$U108=""),0,MAX(0,INT($U108)-INT($T108))))</f>
        <v/>
      </c>
      <c r="W108" s="22">
        <f>IF($D108="","",ROUND(MAX(0,N($J108)*日滞纳金率*N($V108)-N($R108)),2))</f>
        <v/>
      </c>
      <c r="X108" s="12" t="n"/>
      <c r="Y108" s="12" t="n"/>
      <c r="Z108" s="20" t="n"/>
      <c r="AA108" s="18">
        <f>IF($D108="","",IF(AND($C108&lt;&gt;"",ISNA(MATCH($C108,状态表,0))),"※状态不在【资料】里",IF(AND($G108&lt;&gt;"",$H108&lt;&gt;"",$H108&lt;$G108),"※到期日早于当票日期",IF(AND($F108&lt;&gt;"",COUNTIF($F$4:$F$123,$F108)&gt;1),"※当票号在本表里出现了不止一次",IF(AND(N($U108)&gt;0,N($T108)=0),"※填了实际付息日但没填应付息日","")))))</f>
        <v/>
      </c>
    </row>
    <row r="109">
      <c r="A109" s="18">
        <f>IF($D109="","",COUNTA($D$4:$D109))</f>
        <v/>
      </c>
      <c r="B109" s="12" t="n"/>
      <c r="C109" s="12" t="n"/>
      <c r="D109" s="12" t="n"/>
      <c r="E109" s="12" t="n"/>
      <c r="F109" s="12" t="n"/>
      <c r="G109" s="19" t="n"/>
      <c r="H109" s="19" t="n"/>
      <c r="I109" s="19" t="n"/>
      <c r="J109" s="20" t="n"/>
      <c r="K109" s="21" t="n"/>
      <c r="L109" s="20" t="n"/>
      <c r="M109" s="20" t="n"/>
      <c r="N109" s="20" t="n"/>
      <c r="O109" s="20" t="n"/>
      <c r="P109" s="20" t="n"/>
      <c r="Q109" s="20" t="n"/>
      <c r="R109" s="20" t="n"/>
      <c r="S109" s="22">
        <f>IF($D109="","",ROUND(N($N109)+N($O109)+N($P109)+N($Q109)+N($R109),2))</f>
        <v/>
      </c>
      <c r="T109" s="19" t="n"/>
      <c r="U109" s="19" t="n"/>
      <c r="V109" s="23">
        <f>IF($D109="","",IF(OR($T109="",$U109=""),0,MAX(0,INT($U109)-INT($T109))))</f>
        <v/>
      </c>
      <c r="W109" s="22">
        <f>IF($D109="","",ROUND(MAX(0,N($J109)*日滞纳金率*N($V109)-N($R109)),2))</f>
        <v/>
      </c>
      <c r="X109" s="12" t="n"/>
      <c r="Y109" s="12" t="n"/>
      <c r="Z109" s="20" t="n"/>
      <c r="AA109" s="18">
        <f>IF($D109="","",IF(AND($C109&lt;&gt;"",ISNA(MATCH($C109,状态表,0))),"※状态不在【资料】里",IF(AND($G109&lt;&gt;"",$H109&lt;&gt;"",$H109&lt;$G109),"※到期日早于当票日期",IF(AND($F109&lt;&gt;"",COUNTIF($F$4:$F$123,$F109)&gt;1),"※当票号在本表里出现了不止一次",IF(AND(N($U109)&gt;0,N($T109)=0),"※填了实际付息日但没填应付息日","")))))</f>
        <v/>
      </c>
    </row>
    <row r="110">
      <c r="A110" s="18">
        <f>IF($D110="","",COUNTA($D$4:$D110))</f>
        <v/>
      </c>
      <c r="B110" s="12" t="n"/>
      <c r="C110" s="12" t="n"/>
      <c r="D110" s="12" t="n"/>
      <c r="E110" s="12" t="n"/>
      <c r="F110" s="12" t="n"/>
      <c r="G110" s="19" t="n"/>
      <c r="H110" s="19" t="n"/>
      <c r="I110" s="19" t="n"/>
      <c r="J110" s="20" t="n"/>
      <c r="K110" s="21" t="n"/>
      <c r="L110" s="20" t="n"/>
      <c r="M110" s="20" t="n"/>
      <c r="N110" s="20" t="n"/>
      <c r="O110" s="20" t="n"/>
      <c r="P110" s="20" t="n"/>
      <c r="Q110" s="20" t="n"/>
      <c r="R110" s="20" t="n"/>
      <c r="S110" s="22">
        <f>IF($D110="","",ROUND(N($N110)+N($O110)+N($P110)+N($Q110)+N($R110),2))</f>
        <v/>
      </c>
      <c r="T110" s="19" t="n"/>
      <c r="U110" s="19" t="n"/>
      <c r="V110" s="23">
        <f>IF($D110="","",IF(OR($T110="",$U110=""),0,MAX(0,INT($U110)-INT($T110))))</f>
        <v/>
      </c>
      <c r="W110" s="22">
        <f>IF($D110="","",ROUND(MAX(0,N($J110)*日滞纳金率*N($V110)-N($R110)),2))</f>
        <v/>
      </c>
      <c r="X110" s="12" t="n"/>
      <c r="Y110" s="12" t="n"/>
      <c r="Z110" s="20" t="n"/>
      <c r="AA110" s="18">
        <f>IF($D110="","",IF(AND($C110&lt;&gt;"",ISNA(MATCH($C110,状态表,0))),"※状态不在【资料】里",IF(AND($G110&lt;&gt;"",$H110&lt;&gt;"",$H110&lt;$G110),"※到期日早于当票日期",IF(AND($F110&lt;&gt;"",COUNTIF($F$4:$F$123,$F110)&gt;1),"※当票号在本表里出现了不止一次",IF(AND(N($U110)&gt;0,N($T110)=0),"※填了实际付息日但没填应付息日","")))))</f>
        <v/>
      </c>
    </row>
    <row r="111">
      <c r="A111" s="18">
        <f>IF($D111="","",COUNTA($D$4:$D111))</f>
        <v/>
      </c>
      <c r="B111" s="12" t="n"/>
      <c r="C111" s="12" t="n"/>
      <c r="D111" s="12" t="n"/>
      <c r="E111" s="12" t="n"/>
      <c r="F111" s="12" t="n"/>
      <c r="G111" s="19" t="n"/>
      <c r="H111" s="19" t="n"/>
      <c r="I111" s="19" t="n"/>
      <c r="J111" s="20" t="n"/>
      <c r="K111" s="21" t="n"/>
      <c r="L111" s="20" t="n"/>
      <c r="M111" s="20" t="n"/>
      <c r="N111" s="20" t="n"/>
      <c r="O111" s="20" t="n"/>
      <c r="P111" s="20" t="n"/>
      <c r="Q111" s="20" t="n"/>
      <c r="R111" s="20" t="n"/>
      <c r="S111" s="22">
        <f>IF($D111="","",ROUND(N($N111)+N($O111)+N($P111)+N($Q111)+N($R111),2))</f>
        <v/>
      </c>
      <c r="T111" s="19" t="n"/>
      <c r="U111" s="19" t="n"/>
      <c r="V111" s="23">
        <f>IF($D111="","",IF(OR($T111="",$U111=""),0,MAX(0,INT($U111)-INT($T111))))</f>
        <v/>
      </c>
      <c r="W111" s="22">
        <f>IF($D111="","",ROUND(MAX(0,N($J111)*日滞纳金率*N($V111)-N($R111)),2))</f>
        <v/>
      </c>
      <c r="X111" s="12" t="n"/>
      <c r="Y111" s="12" t="n"/>
      <c r="Z111" s="20" t="n"/>
      <c r="AA111" s="18">
        <f>IF($D111="","",IF(AND($C111&lt;&gt;"",ISNA(MATCH($C111,状态表,0))),"※状态不在【资料】里",IF(AND($G111&lt;&gt;"",$H111&lt;&gt;"",$H111&lt;$G111),"※到期日早于当票日期",IF(AND($F111&lt;&gt;"",COUNTIF($F$4:$F$123,$F111)&gt;1),"※当票号在本表里出现了不止一次",IF(AND(N($U111)&gt;0,N($T111)=0),"※填了实际付息日但没填应付息日","")))))</f>
        <v/>
      </c>
    </row>
    <row r="112">
      <c r="A112" s="18">
        <f>IF($D112="","",COUNTA($D$4:$D112))</f>
        <v/>
      </c>
      <c r="B112" s="12" t="n"/>
      <c r="C112" s="12" t="n"/>
      <c r="D112" s="12" t="n"/>
      <c r="E112" s="12" t="n"/>
      <c r="F112" s="12" t="n"/>
      <c r="G112" s="19" t="n"/>
      <c r="H112" s="19" t="n"/>
      <c r="I112" s="19" t="n"/>
      <c r="J112" s="20" t="n"/>
      <c r="K112" s="21" t="n"/>
      <c r="L112" s="20" t="n"/>
      <c r="M112" s="20" t="n"/>
      <c r="N112" s="20" t="n"/>
      <c r="O112" s="20" t="n"/>
      <c r="P112" s="20" t="n"/>
      <c r="Q112" s="20" t="n"/>
      <c r="R112" s="20" t="n"/>
      <c r="S112" s="22">
        <f>IF($D112="","",ROUND(N($N112)+N($O112)+N($P112)+N($Q112)+N($R112),2))</f>
        <v/>
      </c>
      <c r="T112" s="19" t="n"/>
      <c r="U112" s="19" t="n"/>
      <c r="V112" s="23">
        <f>IF($D112="","",IF(OR($T112="",$U112=""),0,MAX(0,INT($U112)-INT($T112))))</f>
        <v/>
      </c>
      <c r="W112" s="22">
        <f>IF($D112="","",ROUND(MAX(0,N($J112)*日滞纳金率*N($V112)-N($R112)),2))</f>
        <v/>
      </c>
      <c r="X112" s="12" t="n"/>
      <c r="Y112" s="12" t="n"/>
      <c r="Z112" s="20" t="n"/>
      <c r="AA112" s="18">
        <f>IF($D112="","",IF(AND($C112&lt;&gt;"",ISNA(MATCH($C112,状态表,0))),"※状态不在【资料】里",IF(AND($G112&lt;&gt;"",$H112&lt;&gt;"",$H112&lt;$G112),"※到期日早于当票日期",IF(AND($F112&lt;&gt;"",COUNTIF($F$4:$F$123,$F112)&gt;1),"※当票号在本表里出现了不止一次",IF(AND(N($U112)&gt;0,N($T112)=0),"※填了实际付息日但没填应付息日","")))))</f>
        <v/>
      </c>
    </row>
    <row r="113">
      <c r="A113" s="18">
        <f>IF($D113="","",COUNTA($D$4:$D113))</f>
        <v/>
      </c>
      <c r="B113" s="12" t="n"/>
      <c r="C113" s="12" t="n"/>
      <c r="D113" s="12" t="n"/>
      <c r="E113" s="12" t="n"/>
      <c r="F113" s="12" t="n"/>
      <c r="G113" s="19" t="n"/>
      <c r="H113" s="19" t="n"/>
      <c r="I113" s="19" t="n"/>
      <c r="J113" s="20" t="n"/>
      <c r="K113" s="21" t="n"/>
      <c r="L113" s="20" t="n"/>
      <c r="M113" s="20" t="n"/>
      <c r="N113" s="20" t="n"/>
      <c r="O113" s="20" t="n"/>
      <c r="P113" s="20" t="n"/>
      <c r="Q113" s="20" t="n"/>
      <c r="R113" s="20" t="n"/>
      <c r="S113" s="22">
        <f>IF($D113="","",ROUND(N($N113)+N($O113)+N($P113)+N($Q113)+N($R113),2))</f>
        <v/>
      </c>
      <c r="T113" s="19" t="n"/>
      <c r="U113" s="19" t="n"/>
      <c r="V113" s="23">
        <f>IF($D113="","",IF(OR($T113="",$U113=""),0,MAX(0,INT($U113)-INT($T113))))</f>
        <v/>
      </c>
      <c r="W113" s="22">
        <f>IF($D113="","",ROUND(MAX(0,N($J113)*日滞纳金率*N($V113)-N($R113)),2))</f>
        <v/>
      </c>
      <c r="X113" s="12" t="n"/>
      <c r="Y113" s="12" t="n"/>
      <c r="Z113" s="20" t="n"/>
      <c r="AA113" s="18">
        <f>IF($D113="","",IF(AND($C113&lt;&gt;"",ISNA(MATCH($C113,状态表,0))),"※状态不在【资料】里",IF(AND($G113&lt;&gt;"",$H113&lt;&gt;"",$H113&lt;$G113),"※到期日早于当票日期",IF(AND($F113&lt;&gt;"",COUNTIF($F$4:$F$123,$F113)&gt;1),"※当票号在本表里出现了不止一次",IF(AND(N($U113)&gt;0,N($T113)=0),"※填了实际付息日但没填应付息日","")))))</f>
        <v/>
      </c>
    </row>
    <row r="114">
      <c r="A114" s="18">
        <f>IF($D114="","",COUNTA($D$4:$D114))</f>
        <v/>
      </c>
      <c r="B114" s="12" t="n"/>
      <c r="C114" s="12" t="n"/>
      <c r="D114" s="12" t="n"/>
      <c r="E114" s="12" t="n"/>
      <c r="F114" s="12" t="n"/>
      <c r="G114" s="19" t="n"/>
      <c r="H114" s="19" t="n"/>
      <c r="I114" s="19" t="n"/>
      <c r="J114" s="20" t="n"/>
      <c r="K114" s="21" t="n"/>
      <c r="L114" s="20" t="n"/>
      <c r="M114" s="20" t="n"/>
      <c r="N114" s="20" t="n"/>
      <c r="O114" s="20" t="n"/>
      <c r="P114" s="20" t="n"/>
      <c r="Q114" s="20" t="n"/>
      <c r="R114" s="20" t="n"/>
      <c r="S114" s="22">
        <f>IF($D114="","",ROUND(N($N114)+N($O114)+N($P114)+N($Q114)+N($R114),2))</f>
        <v/>
      </c>
      <c r="T114" s="19" t="n"/>
      <c r="U114" s="19" t="n"/>
      <c r="V114" s="23">
        <f>IF($D114="","",IF(OR($T114="",$U114=""),0,MAX(0,INT($U114)-INT($T114))))</f>
        <v/>
      </c>
      <c r="W114" s="22">
        <f>IF($D114="","",ROUND(MAX(0,N($J114)*日滞纳金率*N($V114)-N($R114)),2))</f>
        <v/>
      </c>
      <c r="X114" s="12" t="n"/>
      <c r="Y114" s="12" t="n"/>
      <c r="Z114" s="20" t="n"/>
      <c r="AA114" s="18">
        <f>IF($D114="","",IF(AND($C114&lt;&gt;"",ISNA(MATCH($C114,状态表,0))),"※状态不在【资料】里",IF(AND($G114&lt;&gt;"",$H114&lt;&gt;"",$H114&lt;$G114),"※到期日早于当票日期",IF(AND($F114&lt;&gt;"",COUNTIF($F$4:$F$123,$F114)&gt;1),"※当票号在本表里出现了不止一次",IF(AND(N($U114)&gt;0,N($T114)=0),"※填了实际付息日但没填应付息日","")))))</f>
        <v/>
      </c>
    </row>
    <row r="115">
      <c r="A115" s="18">
        <f>IF($D115="","",COUNTA($D$4:$D115))</f>
        <v/>
      </c>
      <c r="B115" s="12" t="n"/>
      <c r="C115" s="12" t="n"/>
      <c r="D115" s="12" t="n"/>
      <c r="E115" s="12" t="n"/>
      <c r="F115" s="12" t="n"/>
      <c r="G115" s="19" t="n"/>
      <c r="H115" s="19" t="n"/>
      <c r="I115" s="19" t="n"/>
      <c r="J115" s="20" t="n"/>
      <c r="K115" s="21" t="n"/>
      <c r="L115" s="20" t="n"/>
      <c r="M115" s="20" t="n"/>
      <c r="N115" s="20" t="n"/>
      <c r="O115" s="20" t="n"/>
      <c r="P115" s="20" t="n"/>
      <c r="Q115" s="20" t="n"/>
      <c r="R115" s="20" t="n"/>
      <c r="S115" s="22">
        <f>IF($D115="","",ROUND(N($N115)+N($O115)+N($P115)+N($Q115)+N($R115),2))</f>
        <v/>
      </c>
      <c r="T115" s="19" t="n"/>
      <c r="U115" s="19" t="n"/>
      <c r="V115" s="23">
        <f>IF($D115="","",IF(OR($T115="",$U115=""),0,MAX(0,INT($U115)-INT($T115))))</f>
        <v/>
      </c>
      <c r="W115" s="22">
        <f>IF($D115="","",ROUND(MAX(0,N($J115)*日滞纳金率*N($V115)-N($R115)),2))</f>
        <v/>
      </c>
      <c r="X115" s="12" t="n"/>
      <c r="Y115" s="12" t="n"/>
      <c r="Z115" s="20" t="n"/>
      <c r="AA115" s="18">
        <f>IF($D115="","",IF(AND($C115&lt;&gt;"",ISNA(MATCH($C115,状态表,0))),"※状态不在【资料】里",IF(AND($G115&lt;&gt;"",$H115&lt;&gt;"",$H115&lt;$G115),"※到期日早于当票日期",IF(AND($F115&lt;&gt;"",COUNTIF($F$4:$F$123,$F115)&gt;1),"※当票号在本表里出现了不止一次",IF(AND(N($U115)&gt;0,N($T115)=0),"※填了实际付息日但没填应付息日","")))))</f>
        <v/>
      </c>
    </row>
    <row r="116">
      <c r="A116" s="18">
        <f>IF($D116="","",COUNTA($D$4:$D116))</f>
        <v/>
      </c>
      <c r="B116" s="12" t="n"/>
      <c r="C116" s="12" t="n"/>
      <c r="D116" s="12" t="n"/>
      <c r="E116" s="12" t="n"/>
      <c r="F116" s="12" t="n"/>
      <c r="G116" s="19" t="n"/>
      <c r="H116" s="19" t="n"/>
      <c r="I116" s="19" t="n"/>
      <c r="J116" s="20" t="n"/>
      <c r="K116" s="21" t="n"/>
      <c r="L116" s="20" t="n"/>
      <c r="M116" s="20" t="n"/>
      <c r="N116" s="20" t="n"/>
      <c r="O116" s="20" t="n"/>
      <c r="P116" s="20" t="n"/>
      <c r="Q116" s="20" t="n"/>
      <c r="R116" s="20" t="n"/>
      <c r="S116" s="22">
        <f>IF($D116="","",ROUND(N($N116)+N($O116)+N($P116)+N($Q116)+N($R116),2))</f>
        <v/>
      </c>
      <c r="T116" s="19" t="n"/>
      <c r="U116" s="19" t="n"/>
      <c r="V116" s="23">
        <f>IF($D116="","",IF(OR($T116="",$U116=""),0,MAX(0,INT($U116)-INT($T116))))</f>
        <v/>
      </c>
      <c r="W116" s="22">
        <f>IF($D116="","",ROUND(MAX(0,N($J116)*日滞纳金率*N($V116)-N($R116)),2))</f>
        <v/>
      </c>
      <c r="X116" s="12" t="n"/>
      <c r="Y116" s="12" t="n"/>
      <c r="Z116" s="20" t="n"/>
      <c r="AA116" s="18">
        <f>IF($D116="","",IF(AND($C116&lt;&gt;"",ISNA(MATCH($C116,状态表,0))),"※状态不在【资料】里",IF(AND($G116&lt;&gt;"",$H116&lt;&gt;"",$H116&lt;$G116),"※到期日早于当票日期",IF(AND($F116&lt;&gt;"",COUNTIF($F$4:$F$123,$F116)&gt;1),"※当票号在本表里出现了不止一次",IF(AND(N($U116)&gt;0,N($T116)=0),"※填了实际付息日但没填应付息日","")))))</f>
        <v/>
      </c>
    </row>
    <row r="117">
      <c r="A117" s="18">
        <f>IF($D117="","",COUNTA($D$4:$D117))</f>
        <v/>
      </c>
      <c r="B117" s="12" t="n"/>
      <c r="C117" s="12" t="n"/>
      <c r="D117" s="12" t="n"/>
      <c r="E117" s="12" t="n"/>
      <c r="F117" s="12" t="n"/>
      <c r="G117" s="19" t="n"/>
      <c r="H117" s="19" t="n"/>
      <c r="I117" s="19" t="n"/>
      <c r="J117" s="20" t="n"/>
      <c r="K117" s="21" t="n"/>
      <c r="L117" s="20" t="n"/>
      <c r="M117" s="20" t="n"/>
      <c r="N117" s="20" t="n"/>
      <c r="O117" s="20" t="n"/>
      <c r="P117" s="20" t="n"/>
      <c r="Q117" s="20" t="n"/>
      <c r="R117" s="20" t="n"/>
      <c r="S117" s="22">
        <f>IF($D117="","",ROUND(N($N117)+N($O117)+N($P117)+N($Q117)+N($R117),2))</f>
        <v/>
      </c>
      <c r="T117" s="19" t="n"/>
      <c r="U117" s="19" t="n"/>
      <c r="V117" s="23">
        <f>IF($D117="","",IF(OR($T117="",$U117=""),0,MAX(0,INT($U117)-INT($T117))))</f>
        <v/>
      </c>
      <c r="W117" s="22">
        <f>IF($D117="","",ROUND(MAX(0,N($J117)*日滞纳金率*N($V117)-N($R117)),2))</f>
        <v/>
      </c>
      <c r="X117" s="12" t="n"/>
      <c r="Y117" s="12" t="n"/>
      <c r="Z117" s="20" t="n"/>
      <c r="AA117" s="18">
        <f>IF($D117="","",IF(AND($C117&lt;&gt;"",ISNA(MATCH($C117,状态表,0))),"※状态不在【资料】里",IF(AND($G117&lt;&gt;"",$H117&lt;&gt;"",$H117&lt;$G117),"※到期日早于当票日期",IF(AND($F117&lt;&gt;"",COUNTIF($F$4:$F$123,$F117)&gt;1),"※当票号在本表里出现了不止一次",IF(AND(N($U117)&gt;0,N($T117)=0),"※填了实际付息日但没填应付息日","")))))</f>
        <v/>
      </c>
    </row>
    <row r="118">
      <c r="A118" s="18">
        <f>IF($D118="","",COUNTA($D$4:$D118))</f>
        <v/>
      </c>
      <c r="B118" s="12" t="n"/>
      <c r="C118" s="12" t="n"/>
      <c r="D118" s="12" t="n"/>
      <c r="E118" s="12" t="n"/>
      <c r="F118" s="12" t="n"/>
      <c r="G118" s="19" t="n"/>
      <c r="H118" s="19" t="n"/>
      <c r="I118" s="19" t="n"/>
      <c r="J118" s="20" t="n"/>
      <c r="K118" s="21" t="n"/>
      <c r="L118" s="20" t="n"/>
      <c r="M118" s="20" t="n"/>
      <c r="N118" s="20" t="n"/>
      <c r="O118" s="20" t="n"/>
      <c r="P118" s="20" t="n"/>
      <c r="Q118" s="20" t="n"/>
      <c r="R118" s="20" t="n"/>
      <c r="S118" s="22">
        <f>IF($D118="","",ROUND(N($N118)+N($O118)+N($P118)+N($Q118)+N($R118),2))</f>
        <v/>
      </c>
      <c r="T118" s="19" t="n"/>
      <c r="U118" s="19" t="n"/>
      <c r="V118" s="23">
        <f>IF($D118="","",IF(OR($T118="",$U118=""),0,MAX(0,INT($U118)-INT($T118))))</f>
        <v/>
      </c>
      <c r="W118" s="22">
        <f>IF($D118="","",ROUND(MAX(0,N($J118)*日滞纳金率*N($V118)-N($R118)),2))</f>
        <v/>
      </c>
      <c r="X118" s="12" t="n"/>
      <c r="Y118" s="12" t="n"/>
      <c r="Z118" s="20" t="n"/>
      <c r="AA118" s="18">
        <f>IF($D118="","",IF(AND($C118&lt;&gt;"",ISNA(MATCH($C118,状态表,0))),"※状态不在【资料】里",IF(AND($G118&lt;&gt;"",$H118&lt;&gt;"",$H118&lt;$G118),"※到期日早于当票日期",IF(AND($F118&lt;&gt;"",COUNTIF($F$4:$F$123,$F118)&gt;1),"※当票号在本表里出现了不止一次",IF(AND(N($U118)&gt;0,N($T118)=0),"※填了实际付息日但没填应付息日","")))))</f>
        <v/>
      </c>
    </row>
    <row r="119">
      <c r="A119" s="18">
        <f>IF($D119="","",COUNTA($D$4:$D119))</f>
        <v/>
      </c>
      <c r="B119" s="12" t="n"/>
      <c r="C119" s="12" t="n"/>
      <c r="D119" s="12" t="n"/>
      <c r="E119" s="12" t="n"/>
      <c r="F119" s="12" t="n"/>
      <c r="G119" s="19" t="n"/>
      <c r="H119" s="19" t="n"/>
      <c r="I119" s="19" t="n"/>
      <c r="J119" s="20" t="n"/>
      <c r="K119" s="21" t="n"/>
      <c r="L119" s="20" t="n"/>
      <c r="M119" s="20" t="n"/>
      <c r="N119" s="20" t="n"/>
      <c r="O119" s="20" t="n"/>
      <c r="P119" s="20" t="n"/>
      <c r="Q119" s="20" t="n"/>
      <c r="R119" s="20" t="n"/>
      <c r="S119" s="22">
        <f>IF($D119="","",ROUND(N($N119)+N($O119)+N($P119)+N($Q119)+N($R119),2))</f>
        <v/>
      </c>
      <c r="T119" s="19" t="n"/>
      <c r="U119" s="19" t="n"/>
      <c r="V119" s="23">
        <f>IF($D119="","",IF(OR($T119="",$U119=""),0,MAX(0,INT($U119)-INT($T119))))</f>
        <v/>
      </c>
      <c r="W119" s="22">
        <f>IF($D119="","",ROUND(MAX(0,N($J119)*日滞纳金率*N($V119)-N($R119)),2))</f>
        <v/>
      </c>
      <c r="X119" s="12" t="n"/>
      <c r="Y119" s="12" t="n"/>
      <c r="Z119" s="20" t="n"/>
      <c r="AA119" s="18">
        <f>IF($D119="","",IF(AND($C119&lt;&gt;"",ISNA(MATCH($C119,状态表,0))),"※状态不在【资料】里",IF(AND($G119&lt;&gt;"",$H119&lt;&gt;"",$H119&lt;$G119),"※到期日早于当票日期",IF(AND($F119&lt;&gt;"",COUNTIF($F$4:$F$123,$F119)&gt;1),"※当票号在本表里出现了不止一次",IF(AND(N($U119)&gt;0,N($T119)=0),"※填了实际付息日但没填应付息日","")))))</f>
        <v/>
      </c>
    </row>
    <row r="120">
      <c r="A120" s="18">
        <f>IF($D120="","",COUNTA($D$4:$D120))</f>
        <v/>
      </c>
      <c r="B120" s="12" t="n"/>
      <c r="C120" s="12" t="n"/>
      <c r="D120" s="12" t="n"/>
      <c r="E120" s="12" t="n"/>
      <c r="F120" s="12" t="n"/>
      <c r="G120" s="19" t="n"/>
      <c r="H120" s="19" t="n"/>
      <c r="I120" s="19" t="n"/>
      <c r="J120" s="20" t="n"/>
      <c r="K120" s="21" t="n"/>
      <c r="L120" s="20" t="n"/>
      <c r="M120" s="20" t="n"/>
      <c r="N120" s="20" t="n"/>
      <c r="O120" s="20" t="n"/>
      <c r="P120" s="20" t="n"/>
      <c r="Q120" s="20" t="n"/>
      <c r="R120" s="20" t="n"/>
      <c r="S120" s="22">
        <f>IF($D120="","",ROUND(N($N120)+N($O120)+N($P120)+N($Q120)+N($R120),2))</f>
        <v/>
      </c>
      <c r="T120" s="19" t="n"/>
      <c r="U120" s="19" t="n"/>
      <c r="V120" s="23">
        <f>IF($D120="","",IF(OR($T120="",$U120=""),0,MAX(0,INT($U120)-INT($T120))))</f>
        <v/>
      </c>
      <c r="W120" s="22">
        <f>IF($D120="","",ROUND(MAX(0,N($J120)*日滞纳金率*N($V120)-N($R120)),2))</f>
        <v/>
      </c>
      <c r="X120" s="12" t="n"/>
      <c r="Y120" s="12" t="n"/>
      <c r="Z120" s="20" t="n"/>
      <c r="AA120" s="18">
        <f>IF($D120="","",IF(AND($C120&lt;&gt;"",ISNA(MATCH($C120,状态表,0))),"※状态不在【资料】里",IF(AND($G120&lt;&gt;"",$H120&lt;&gt;"",$H120&lt;$G120),"※到期日早于当票日期",IF(AND($F120&lt;&gt;"",COUNTIF($F$4:$F$123,$F120)&gt;1),"※当票号在本表里出现了不止一次",IF(AND(N($U120)&gt;0,N($T120)=0),"※填了实际付息日但没填应付息日","")))))</f>
        <v/>
      </c>
    </row>
    <row r="121">
      <c r="A121" s="18">
        <f>IF($D121="","",COUNTA($D$4:$D121))</f>
        <v/>
      </c>
      <c r="B121" s="12" t="n"/>
      <c r="C121" s="12" t="n"/>
      <c r="D121" s="12" t="n"/>
      <c r="E121" s="12" t="n"/>
      <c r="F121" s="12" t="n"/>
      <c r="G121" s="19" t="n"/>
      <c r="H121" s="19" t="n"/>
      <c r="I121" s="19" t="n"/>
      <c r="J121" s="20" t="n"/>
      <c r="K121" s="21" t="n"/>
      <c r="L121" s="20" t="n"/>
      <c r="M121" s="20" t="n"/>
      <c r="N121" s="20" t="n"/>
      <c r="O121" s="20" t="n"/>
      <c r="P121" s="20" t="n"/>
      <c r="Q121" s="20" t="n"/>
      <c r="R121" s="20" t="n"/>
      <c r="S121" s="22">
        <f>IF($D121="","",ROUND(N($N121)+N($O121)+N($P121)+N($Q121)+N($R121),2))</f>
        <v/>
      </c>
      <c r="T121" s="19" t="n"/>
      <c r="U121" s="19" t="n"/>
      <c r="V121" s="23">
        <f>IF($D121="","",IF(OR($T121="",$U121=""),0,MAX(0,INT($U121)-INT($T121))))</f>
        <v/>
      </c>
      <c r="W121" s="22">
        <f>IF($D121="","",ROUND(MAX(0,N($J121)*日滞纳金率*N($V121)-N($R121)),2))</f>
        <v/>
      </c>
      <c r="X121" s="12" t="n"/>
      <c r="Y121" s="12" t="n"/>
      <c r="Z121" s="20" t="n"/>
      <c r="AA121" s="18">
        <f>IF($D121="","",IF(AND($C121&lt;&gt;"",ISNA(MATCH($C121,状态表,0))),"※状态不在【资料】里",IF(AND($G121&lt;&gt;"",$H121&lt;&gt;"",$H121&lt;$G121),"※到期日早于当票日期",IF(AND($F121&lt;&gt;"",COUNTIF($F$4:$F$123,$F121)&gt;1),"※当票号在本表里出现了不止一次",IF(AND(N($U121)&gt;0,N($T121)=0),"※填了实际付息日但没填应付息日","")))))</f>
        <v/>
      </c>
    </row>
    <row r="122">
      <c r="A122" s="18">
        <f>IF($D122="","",COUNTA($D$4:$D122))</f>
        <v/>
      </c>
      <c r="B122" s="12" t="n"/>
      <c r="C122" s="12" t="n"/>
      <c r="D122" s="12" t="n"/>
      <c r="E122" s="12" t="n"/>
      <c r="F122" s="12" t="n"/>
      <c r="G122" s="19" t="n"/>
      <c r="H122" s="19" t="n"/>
      <c r="I122" s="19" t="n"/>
      <c r="J122" s="20" t="n"/>
      <c r="K122" s="21" t="n"/>
      <c r="L122" s="20" t="n"/>
      <c r="M122" s="20" t="n"/>
      <c r="N122" s="20" t="n"/>
      <c r="O122" s="20" t="n"/>
      <c r="P122" s="20" t="n"/>
      <c r="Q122" s="20" t="n"/>
      <c r="R122" s="20" t="n"/>
      <c r="S122" s="22">
        <f>IF($D122="","",ROUND(N($N122)+N($O122)+N($P122)+N($Q122)+N($R122),2))</f>
        <v/>
      </c>
      <c r="T122" s="19" t="n"/>
      <c r="U122" s="19" t="n"/>
      <c r="V122" s="23">
        <f>IF($D122="","",IF(OR($T122="",$U122=""),0,MAX(0,INT($U122)-INT($T122))))</f>
        <v/>
      </c>
      <c r="W122" s="22">
        <f>IF($D122="","",ROUND(MAX(0,N($J122)*日滞纳金率*N($V122)-N($R122)),2))</f>
        <v/>
      </c>
      <c r="X122" s="12" t="n"/>
      <c r="Y122" s="12" t="n"/>
      <c r="Z122" s="20" t="n"/>
      <c r="AA122" s="18">
        <f>IF($D122="","",IF(AND($C122&lt;&gt;"",ISNA(MATCH($C122,状态表,0))),"※状态不在【资料】里",IF(AND($G122&lt;&gt;"",$H122&lt;&gt;"",$H122&lt;$G122),"※到期日早于当票日期",IF(AND($F122&lt;&gt;"",COUNTIF($F$4:$F$123,$F122)&gt;1),"※当票号在本表里出现了不止一次",IF(AND(N($U122)&gt;0,N($T122)=0),"※填了实际付息日但没填应付息日","")))))</f>
        <v/>
      </c>
    </row>
    <row r="123">
      <c r="A123" s="18">
        <f>IF($D123="","",COUNTA($D$4:$D123))</f>
        <v/>
      </c>
      <c r="B123" s="12" t="n"/>
      <c r="C123" s="12" t="n"/>
      <c r="D123" s="12" t="n"/>
      <c r="E123" s="12" t="n"/>
      <c r="F123" s="12" t="n"/>
      <c r="G123" s="19" t="n"/>
      <c r="H123" s="19" t="n"/>
      <c r="I123" s="19" t="n"/>
      <c r="J123" s="20" t="n"/>
      <c r="K123" s="21" t="n"/>
      <c r="L123" s="20" t="n"/>
      <c r="M123" s="20" t="n"/>
      <c r="N123" s="20" t="n"/>
      <c r="O123" s="20" t="n"/>
      <c r="P123" s="20" t="n"/>
      <c r="Q123" s="20" t="n"/>
      <c r="R123" s="20" t="n"/>
      <c r="S123" s="22">
        <f>IF($D123="","",ROUND(N($N123)+N($O123)+N($P123)+N($Q123)+N($R123),2))</f>
        <v/>
      </c>
      <c r="T123" s="19" t="n"/>
      <c r="U123" s="19" t="n"/>
      <c r="V123" s="23">
        <f>IF($D123="","",IF(OR($T123="",$U123=""),0,MAX(0,INT($U123)-INT($T123))))</f>
        <v/>
      </c>
      <c r="W123" s="22">
        <f>IF($D123="","",ROUND(MAX(0,N($J123)*日滞纳金率*N($V123)-N($R123)),2))</f>
        <v/>
      </c>
      <c r="X123" s="12" t="n"/>
      <c r="Y123" s="12" t="n"/>
      <c r="Z123" s="20" t="n"/>
      <c r="AA123" s="18">
        <f>IF($D123="","",IF(AND($C123&lt;&gt;"",ISNA(MATCH($C123,状态表,0))),"※状态不在【资料】里",IF(AND($G123&lt;&gt;"",$H123&lt;&gt;"",$H123&lt;$G123),"※到期日早于当票日期",IF(AND($F123&lt;&gt;"",COUNTIF($F$4:$F$123,$F123)&gt;1),"※当票号在本表里出现了不止一次",IF(AND(N($U123)&gt;0,N($T123)=0),"※填了实际付息日但没填应付息日","")))))</f>
        <v/>
      </c>
    </row>
  </sheetData>
  <autoFilter ref="A3:AA123"/>
  <mergeCells count="2">
    <mergeCell ref="A1:AA1"/>
    <mergeCell ref="A2:AA2"/>
  </mergeCells>
  <conditionalFormatting sqref="AA4:AA123">
    <cfRule type="expression" priority="1" dxfId="0">
      <formula>LEFT(AA4,1)="※"</formula>
    </cfRule>
  </conditionalFormatting>
  <dataValidations count="3">
    <dataValidation sqref="B4:B123" showDropDown="0" showInputMessage="0" showErrorMessage="1" allowBlank="1" errorTitle="不在名单里" error="先去【资料】把它加上，或者选一个已有的。" type="list" errorStyle="warning">
      <formula1>=物品表</formula1>
    </dataValidation>
    <dataValidation sqref="C4:C123" showDropDown="0" showInputMessage="0" showErrorMessage="1" allowBlank="1" errorTitle="不在名单里" error="先去【资料】把它加上，或者选一个已有的。" type="list" errorStyle="warning">
      <formula1>=状态表</formula1>
    </dataValidation>
    <dataValidation sqref="X4:X123" showDropDown="0" showInputMessage="0" showErrorMessage="1" allowBlank="1" errorTitle="不在名单里" error="先去【资料】把它加上，或者选一个已有的。" type="list" errorStyle="warning">
      <formula1>=付息表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/>
  </sheetPr>
  <dimension ref="A1:X403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3" customWidth="1" min="4" max="4"/>
    <col width="13" customWidth="1" min="5" max="5"/>
    <col width="20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3" customWidth="1" min="13" max="13"/>
    <col width="14" customWidth="1" min="14" max="14"/>
    <col width="10" customWidth="1" min="15" max="15"/>
    <col width="13" customWidth="1" min="16" max="16"/>
    <col width="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26" customWidth="1" min="23" max="23"/>
    <col width="24" customWidth="1" min="24" max="24"/>
  </cols>
  <sheetData>
    <row r="1" ht="30" customHeight="1">
      <c r="A1" s="9" t="inlineStr">
        <is>
          <t>表2 · 客户典当登记（总表，在这里登记）</t>
        </is>
      </c>
    </row>
    <row r="2" ht="22" customHeight="1">
      <c r="A2" s="10" t="inlineStr">
        <is>
          <t>登记完，【金辉典当】【明道典当】【个人典当】三张子表自动拆出来，不用手工分。「当前在当」= 典当金额 − 已还本金。最后一列「核对」会自己挑毛病，红字的去改。</t>
        </is>
      </c>
    </row>
    <row r="3" ht="32" customHeight="1">
      <c r="A3" s="17" t="inlineStr">
        <is>
          <t>序号</t>
        </is>
      </c>
      <c r="B3" s="17" t="inlineStr">
        <is>
          <t>抵押机构 ★</t>
        </is>
      </c>
      <c r="C3" s="17" t="inlineStr">
        <is>
          <t>抵押物品 ★</t>
        </is>
      </c>
      <c r="D3" s="17" t="inlineStr">
        <is>
          <t>状态 ★</t>
        </is>
      </c>
      <c r="E3" s="17" t="inlineStr">
        <is>
          <t>客户姓名 ★</t>
        </is>
      </c>
      <c r="F3" s="17" t="inlineStr">
        <is>
          <t>身份证号</t>
        </is>
      </c>
      <c r="G3" s="17" t="inlineStr">
        <is>
          <t>客户电话</t>
        </is>
      </c>
      <c r="H3" s="17" t="inlineStr">
        <is>
          <t>当票号</t>
        </is>
      </c>
      <c r="I3" s="17" t="inlineStr">
        <is>
          <t>当票日期</t>
        </is>
      </c>
      <c r="J3" s="17" t="inlineStr">
        <is>
          <t>当票到期日</t>
        </is>
      </c>
      <c r="K3" s="17" t="inlineStr">
        <is>
          <t>出款日期</t>
        </is>
      </c>
      <c r="L3" s="17" t="inlineStr">
        <is>
          <t>典当金额 ★</t>
        </is>
      </c>
      <c r="M3" s="17" t="inlineStr">
        <is>
          <t>已还本金</t>
        </is>
      </c>
      <c r="N3" s="17" t="inlineStr">
        <is>
          <t>当前在当</t>
        </is>
      </c>
      <c r="O3" s="17" t="inlineStr">
        <is>
          <t>典当系统费率</t>
        </is>
      </c>
      <c r="P3" s="17" t="inlineStr">
        <is>
          <t>应收利息</t>
        </is>
      </c>
      <c r="Q3" s="17" t="inlineStr">
        <is>
          <t>利息日</t>
        </is>
      </c>
      <c r="R3" s="17" t="inlineStr">
        <is>
          <t>应付利息日</t>
        </is>
      </c>
      <c r="S3" s="17" t="inlineStr">
        <is>
          <t>对公</t>
        </is>
      </c>
      <c r="T3" s="17" t="inlineStr">
        <is>
          <t>违约金</t>
        </is>
      </c>
      <c r="U3" s="17" t="inlineStr">
        <is>
          <t>开票金额</t>
        </is>
      </c>
      <c r="V3" s="17" t="inlineStr">
        <is>
          <t>付息方式</t>
        </is>
      </c>
      <c r="W3" s="17" t="inlineStr">
        <is>
          <t>详情/备注</t>
        </is>
      </c>
      <c r="X3" s="17" t="inlineStr">
        <is>
          <t>核对</t>
        </is>
      </c>
    </row>
    <row r="4">
      <c r="A4" s="18">
        <f>IF($E4="","",COUNTA($E$4:$E4))</f>
        <v/>
      </c>
      <c r="B4" s="12" t="inlineStr">
        <is>
          <t>个人典当</t>
        </is>
      </c>
      <c r="C4" s="12" t="inlineStr">
        <is>
          <t>LV包包</t>
        </is>
      </c>
      <c r="D4" s="12" t="inlineStr">
        <is>
          <t>在当</t>
        </is>
      </c>
      <c r="E4" s="12" t="inlineStr">
        <is>
          <t>曹玉洁</t>
        </is>
      </c>
      <c r="F4" s="12" t="n"/>
      <c r="G4" s="12" t="n"/>
      <c r="H4" s="12" t="n"/>
      <c r="I4" s="19" t="n"/>
      <c r="J4" s="19" t="n"/>
      <c r="K4" s="19" t="n">
        <v>46165</v>
      </c>
      <c r="L4" s="20" t="n">
        <v>5000</v>
      </c>
      <c r="M4" s="20" t="n"/>
      <c r="N4" s="22">
        <f>IF($E4="","",ROUND(N($L4)-N($M4),2))</f>
        <v/>
      </c>
      <c r="O4" s="21" t="n"/>
      <c r="P4" s="20" t="n">
        <v>200</v>
      </c>
      <c r="Q4" s="12" t="inlineStr">
        <is>
          <t>22</t>
        </is>
      </c>
      <c r="R4" s="19" t="n">
        <v>46287</v>
      </c>
      <c r="S4" s="20" t="n"/>
      <c r="T4" s="20" t="n"/>
      <c r="U4" s="20" t="n"/>
      <c r="V4" s="12" t="n"/>
      <c r="W4" s="12" t="n"/>
      <c r="X4" s="18">
        <f>IF($E4="","",IF(AND($B4&lt;&gt;"",ISNA(MATCH($B4,机构表,0))),"※机构不在【资料】里",IF(AND($D4&lt;&gt;"",ISNA(MATCH($D4,状态表,0))),"※状态不在【资料】里",IF(N($M4)&gt;N($L4),"※已还本金大于典当金额",IF(AND($I4&lt;&gt;"",$J4&lt;&gt;"",$J4&lt;$I4),"※到期日早于当票日期",IF(AND($H4&lt;&gt;"",COUNTIF($H$4:$H$403,$H4)&gt;1),"※当票号在本表里出现了不止一次",IF(AND($L4&lt;&gt;"",$E4=""),"※有金额没写客户","")))))))</f>
        <v/>
      </c>
    </row>
    <row r="5">
      <c r="A5" s="18">
        <f>IF($E5="","",COUNTA($E$4:$E5))</f>
        <v/>
      </c>
      <c r="B5" s="12" t="inlineStr">
        <is>
          <t>个人典当</t>
        </is>
      </c>
      <c r="C5" s="12" t="inlineStr">
        <is>
          <t>黄金</t>
        </is>
      </c>
      <c r="D5" s="12" t="inlineStr">
        <is>
          <t>在当</t>
        </is>
      </c>
      <c r="E5" s="12" t="inlineStr">
        <is>
          <t>曾光雄</t>
        </is>
      </c>
      <c r="F5" s="12" t="n"/>
      <c r="G5" s="12" t="n"/>
      <c r="H5" s="12" t="n"/>
      <c r="I5" s="19" t="n"/>
      <c r="J5" s="19" t="n">
        <v>45670</v>
      </c>
      <c r="K5" s="19" t="n">
        <v>46006</v>
      </c>
      <c r="L5" s="20" t="n">
        <v>6000</v>
      </c>
      <c r="M5" s="20" t="n"/>
      <c r="N5" s="22">
        <f>IF($E5="","",ROUND(N($L5)-N($M5),2))</f>
        <v/>
      </c>
      <c r="O5" s="21" t="n"/>
      <c r="P5" s="20" t="n">
        <v>150</v>
      </c>
      <c r="Q5" s="12" t="inlineStr">
        <is>
          <t>15</t>
        </is>
      </c>
      <c r="R5" s="19" t="n">
        <v>46280</v>
      </c>
      <c r="S5" s="20" t="n"/>
      <c r="T5" s="20" t="n"/>
      <c r="U5" s="20" t="n"/>
      <c r="V5" s="12" t="n"/>
      <c r="W5" s="12" t="n"/>
      <c r="X5" s="18">
        <f>IF($E5="","",IF(AND($B5&lt;&gt;"",ISNA(MATCH($B5,机构表,0))),"※机构不在【资料】里",IF(AND($D5&lt;&gt;"",ISNA(MATCH($D5,状态表,0))),"※状态不在【资料】里",IF(N($M5)&gt;N($L5),"※已还本金大于典当金额",IF(AND($I5&lt;&gt;"",$J5&lt;&gt;"",$J5&lt;$I5),"※到期日早于当票日期",IF(AND($H5&lt;&gt;"",COUNTIF($H$4:$H$403,$H5)&gt;1),"※当票号在本表里出现了不止一次",IF(AND($L5&lt;&gt;"",$E5=""),"※有金额没写客户","")))))))</f>
        <v/>
      </c>
    </row>
    <row r="6">
      <c r="A6" s="18">
        <f>IF($E6="","",COUNTA($E$4:$E6))</f>
        <v/>
      </c>
      <c r="B6" s="12" t="inlineStr">
        <is>
          <t>个人典当</t>
        </is>
      </c>
      <c r="C6" s="12" t="inlineStr">
        <is>
          <t>黄金</t>
        </is>
      </c>
      <c r="D6" s="12" t="inlineStr">
        <is>
          <t>在当</t>
        </is>
      </c>
      <c r="E6" s="12" t="inlineStr">
        <is>
          <t>曾光雄</t>
        </is>
      </c>
      <c r="F6" s="12" t="n"/>
      <c r="G6" s="12" t="n"/>
      <c r="H6" s="12" t="n"/>
      <c r="I6" s="19" t="n"/>
      <c r="J6" s="19" t="n"/>
      <c r="K6" s="19" t="n">
        <v>46121</v>
      </c>
      <c r="L6" s="20" t="n">
        <v>20000</v>
      </c>
      <c r="M6" s="20" t="n"/>
      <c r="N6" s="22">
        <f>IF($E6="","",ROUND(N($L6)-N($M6),2))</f>
        <v/>
      </c>
      <c r="O6" s="21" t="n"/>
      <c r="P6" s="20" t="n">
        <v>500</v>
      </c>
      <c r="Q6" s="12" t="inlineStr">
        <is>
          <t>9</t>
        </is>
      </c>
      <c r="R6" s="19" t="n">
        <v>46274</v>
      </c>
      <c r="S6" s="20" t="n"/>
      <c r="T6" s="20" t="n"/>
      <c r="U6" s="20" t="n"/>
      <c r="V6" s="12" t="n"/>
      <c r="W6" s="12" t="n"/>
      <c r="X6" s="18">
        <f>IF($E6="","",IF(AND($B6&lt;&gt;"",ISNA(MATCH($B6,机构表,0))),"※机构不在【资料】里",IF(AND($D6&lt;&gt;"",ISNA(MATCH($D6,状态表,0))),"※状态不在【资料】里",IF(N($M6)&gt;N($L6),"※已还本金大于典当金额",IF(AND($I6&lt;&gt;"",$J6&lt;&gt;"",$J6&lt;$I6),"※到期日早于当票日期",IF(AND($H6&lt;&gt;"",COUNTIF($H$4:$H$403,$H6)&gt;1),"※当票号在本表里出现了不止一次",IF(AND($L6&lt;&gt;"",$E6=""),"※有金额没写客户","")))))))</f>
        <v/>
      </c>
    </row>
    <row r="7">
      <c r="A7" s="18">
        <f>IF($E7="","",COUNTA($E$4:$E7))</f>
        <v/>
      </c>
      <c r="B7" s="12" t="inlineStr">
        <is>
          <t>个人典当</t>
        </is>
      </c>
      <c r="C7" s="12" t="inlineStr">
        <is>
          <t>黄金</t>
        </is>
      </c>
      <c r="D7" s="12" t="inlineStr">
        <is>
          <t>在当</t>
        </is>
      </c>
      <c r="E7" s="12" t="inlineStr">
        <is>
          <t>曾光雄</t>
        </is>
      </c>
      <c r="F7" s="12" t="n"/>
      <c r="G7" s="12" t="n"/>
      <c r="H7" s="12" t="n"/>
      <c r="I7" s="19" t="n"/>
      <c r="J7" s="19" t="n"/>
      <c r="K7" s="19" t="n">
        <v>46173</v>
      </c>
      <c r="L7" s="20" t="n">
        <v>3000</v>
      </c>
      <c r="M7" s="20" t="n"/>
      <c r="N7" s="22">
        <f>IF($E7="","",ROUND(N($L7)-N($M7),2))</f>
        <v/>
      </c>
      <c r="O7" s="21" t="n"/>
      <c r="P7" s="20" t="n">
        <v>100</v>
      </c>
      <c r="Q7" s="12" t="inlineStr">
        <is>
          <t>30</t>
        </is>
      </c>
      <c r="R7" s="19" t="n">
        <v>46295</v>
      </c>
      <c r="S7" s="20" t="n"/>
      <c r="T7" s="20" t="n"/>
      <c r="U7" s="20" t="n"/>
      <c r="V7" s="12" t="n"/>
      <c r="W7" s="12" t="n"/>
      <c r="X7" s="18">
        <f>IF($E7="","",IF(AND($B7&lt;&gt;"",ISNA(MATCH($B7,机构表,0))),"※机构不在【资料】里",IF(AND($D7&lt;&gt;"",ISNA(MATCH($D7,状态表,0))),"※状态不在【资料】里",IF(N($M7)&gt;N($L7),"※已还本金大于典当金额",IF(AND($I7&lt;&gt;"",$J7&lt;&gt;"",$J7&lt;$I7),"※到期日早于当票日期",IF(AND($H7&lt;&gt;"",COUNTIF($H$4:$H$403,$H7)&gt;1),"※当票号在本表里出现了不止一次",IF(AND($L7&lt;&gt;"",$E7=""),"※有金额没写客户","")))))))</f>
        <v/>
      </c>
    </row>
    <row r="8">
      <c r="A8" s="18">
        <f>IF($E8="","",COUNTA($E$4:$E8))</f>
        <v/>
      </c>
      <c r="B8" s="12" t="inlineStr">
        <is>
          <t>金辉典当</t>
        </is>
      </c>
      <c r="C8" s="12" t="inlineStr">
        <is>
          <t>黄金</t>
        </is>
      </c>
      <c r="D8" s="12" t="inlineStr">
        <is>
          <t>在当</t>
        </is>
      </c>
      <c r="E8" s="12" t="inlineStr">
        <is>
          <t>曾云</t>
        </is>
      </c>
      <c r="F8" s="12" t="n"/>
      <c r="G8" s="12" t="n"/>
      <c r="H8" s="12" t="inlineStr">
        <is>
          <t>3524019247</t>
        </is>
      </c>
      <c r="I8" s="19" t="n">
        <v>46274</v>
      </c>
      <c r="J8" s="19" t="n">
        <v>46453</v>
      </c>
      <c r="K8" s="19" t="n"/>
      <c r="L8" s="20" t="n">
        <v>85000</v>
      </c>
      <c r="M8" s="20" t="n"/>
      <c r="N8" s="22">
        <f>IF($E8="","",ROUND(N($L8)-N($M8),2))</f>
        <v/>
      </c>
      <c r="O8" s="21" t="n">
        <v>0.003</v>
      </c>
      <c r="P8" s="20" t="n">
        <v>2000</v>
      </c>
      <c r="Q8" s="12" t="inlineStr">
        <is>
          <t>9</t>
        </is>
      </c>
      <c r="R8" s="19" t="n">
        <v>46274</v>
      </c>
      <c r="S8" s="20" t="n">
        <v>255</v>
      </c>
      <c r="T8" s="20" t="n"/>
      <c r="U8" s="20" t="n"/>
      <c r="V8" s="12" t="n"/>
      <c r="W8" s="12" t="n"/>
      <c r="X8" s="18">
        <f>IF($E8="","",IF(AND($B8&lt;&gt;"",ISNA(MATCH($B8,机构表,0))),"※机构不在【资料】里",IF(AND($D8&lt;&gt;"",ISNA(MATCH($D8,状态表,0))),"※状态不在【资料】里",IF(N($M8)&gt;N($L8),"※已还本金大于典当金额",IF(AND($I8&lt;&gt;"",$J8&lt;&gt;"",$J8&lt;$I8),"※到期日早于当票日期",IF(AND($H8&lt;&gt;"",COUNTIF($H$4:$H$403,$H8)&gt;1),"※当票号在本表里出现了不止一次",IF(AND($L8&lt;&gt;"",$E8=""),"※有金额没写客户","")))))))</f>
        <v/>
      </c>
    </row>
    <row r="9">
      <c r="A9" s="18">
        <f>IF($E9="","",COUNTA($E$4:$E9))</f>
        <v/>
      </c>
      <c r="B9" s="12" t="inlineStr">
        <is>
          <t>个人典当</t>
        </is>
      </c>
      <c r="C9" s="12" t="inlineStr">
        <is>
          <t>黄金</t>
        </is>
      </c>
      <c r="D9" s="12" t="inlineStr">
        <is>
          <t>在当</t>
        </is>
      </c>
      <c r="E9" s="12" t="inlineStr">
        <is>
          <t>常虹</t>
        </is>
      </c>
      <c r="F9" s="12" t="n"/>
      <c r="G9" s="12" t="n"/>
      <c r="H9" s="12" t="n"/>
      <c r="I9" s="19" t="n"/>
      <c r="J9" s="19" t="n">
        <v>46178</v>
      </c>
      <c r="K9" s="19" t="n">
        <v>46149</v>
      </c>
      <c r="L9" s="20" t="n">
        <v>3000</v>
      </c>
      <c r="M9" s="20" t="n"/>
      <c r="N9" s="22">
        <f>IF($E9="","",ROUND(N($L9)-N($M9),2))</f>
        <v/>
      </c>
      <c r="O9" s="21" t="n"/>
      <c r="P9" s="20" t="n">
        <v>100</v>
      </c>
      <c r="Q9" s="12" t="inlineStr">
        <is>
          <t>6</t>
        </is>
      </c>
      <c r="R9" s="19" t="n">
        <v>46271</v>
      </c>
      <c r="S9" s="20" t="n"/>
      <c r="T9" s="20" t="n"/>
      <c r="U9" s="20" t="n"/>
      <c r="V9" s="12" t="n"/>
      <c r="W9" s="12" t="n"/>
      <c r="X9" s="18">
        <f>IF($E9="","",IF(AND($B9&lt;&gt;"",ISNA(MATCH($B9,机构表,0))),"※机构不在【资料】里",IF(AND($D9&lt;&gt;"",ISNA(MATCH($D9,状态表,0))),"※状态不在【资料】里",IF(N($M9)&gt;N($L9),"※已还本金大于典当金额",IF(AND($I9&lt;&gt;"",$J9&lt;&gt;"",$J9&lt;$I9),"※到期日早于当票日期",IF(AND($H9&lt;&gt;"",COUNTIF($H$4:$H$403,$H9)&gt;1),"※当票号在本表里出现了不止一次",IF(AND($L9&lt;&gt;"",$E9=""),"※有金额没写客户","")))))))</f>
        <v/>
      </c>
    </row>
    <row r="10">
      <c r="A10" s="18">
        <f>IF($E10="","",COUNTA($E$4:$E10))</f>
        <v/>
      </c>
      <c r="B10" s="12" t="inlineStr">
        <is>
          <t>个人典当</t>
        </is>
      </c>
      <c r="C10" s="12" t="inlineStr">
        <is>
          <t>黄金</t>
        </is>
      </c>
      <c r="D10" s="12" t="inlineStr">
        <is>
          <t>结款（个人）</t>
        </is>
      </c>
      <c r="E10" s="12" t="inlineStr">
        <is>
          <t>陈承辉</t>
        </is>
      </c>
      <c r="F10" s="12" t="n"/>
      <c r="G10" s="12" t="n"/>
      <c r="H10" s="12" t="n"/>
      <c r="I10" s="19" t="n"/>
      <c r="J10" s="19" t="n">
        <v>46118</v>
      </c>
      <c r="K10" s="19" t="n">
        <v>46088</v>
      </c>
      <c r="L10" s="20" t="n">
        <v>0</v>
      </c>
      <c r="M10" s="20" t="n"/>
      <c r="N10" s="22">
        <f>IF($E10="","",ROUND(N($L10)-N($M10),2))</f>
        <v/>
      </c>
      <c r="O10" s="21" t="n"/>
      <c r="P10" s="20" t="n">
        <v>800</v>
      </c>
      <c r="Q10" s="12" t="n"/>
      <c r="R10" s="19" t="n">
        <v>46271</v>
      </c>
      <c r="S10" s="20" t="n"/>
      <c r="T10" s="20" t="n"/>
      <c r="U10" s="20" t="n"/>
      <c r="V10" s="12" t="n"/>
      <c r="W10" s="12" t="n"/>
      <c r="X10" s="18">
        <f>IF($E10="","",IF(AND($B10&lt;&gt;"",ISNA(MATCH($B10,机构表,0))),"※机构不在【资料】里",IF(AND($D10&lt;&gt;"",ISNA(MATCH($D10,状态表,0))),"※状态不在【资料】里",IF(N($M10)&gt;N($L10),"※已还本金大于典当金额",IF(AND($I10&lt;&gt;"",$J10&lt;&gt;"",$J10&lt;$I10),"※到期日早于当票日期",IF(AND($H10&lt;&gt;"",COUNTIF($H$4:$H$403,$H10)&gt;1),"※当票号在本表里出现了不止一次",IF(AND($L10&lt;&gt;"",$E10=""),"※有金额没写客户","")))))))</f>
        <v/>
      </c>
    </row>
    <row r="11">
      <c r="A11" s="18">
        <f>IF($E11="","",COUNTA($E$4:$E11))</f>
        <v/>
      </c>
      <c r="B11" s="12" t="inlineStr">
        <is>
          <t>个人典当</t>
        </is>
      </c>
      <c r="C11" s="12" t="inlineStr">
        <is>
          <t>黄金</t>
        </is>
      </c>
      <c r="D11" s="12" t="inlineStr">
        <is>
          <t>在当</t>
        </is>
      </c>
      <c r="E11" s="12" t="inlineStr">
        <is>
          <t>陈大鑫</t>
        </is>
      </c>
      <c r="F11" s="12" t="n"/>
      <c r="G11" s="12" t="n"/>
      <c r="H11" s="12" t="n"/>
      <c r="I11" s="19" t="n"/>
      <c r="J11" s="19" t="n">
        <v>45666</v>
      </c>
      <c r="K11" s="19" t="n">
        <v>46002</v>
      </c>
      <c r="L11" s="20" t="n">
        <v>18000</v>
      </c>
      <c r="M11" s="20" t="n"/>
      <c r="N11" s="22">
        <f>IF($E11="","",ROUND(N($L11)-N($M11),2))</f>
        <v/>
      </c>
      <c r="O11" s="21" t="n"/>
      <c r="P11" s="20" t="n">
        <v>450</v>
      </c>
      <c r="Q11" s="12" t="inlineStr">
        <is>
          <t>10</t>
        </is>
      </c>
      <c r="R11" s="19" t="n">
        <v>46275</v>
      </c>
      <c r="S11" s="20" t="n"/>
      <c r="T11" s="20" t="n"/>
      <c r="U11" s="20" t="n"/>
      <c r="V11" s="12" t="n"/>
      <c r="W11" s="12" t="n"/>
      <c r="X11" s="18">
        <f>IF($E11="","",IF(AND($B11&lt;&gt;"",ISNA(MATCH($B11,机构表,0))),"※机构不在【资料】里",IF(AND($D11&lt;&gt;"",ISNA(MATCH($D11,状态表,0))),"※状态不在【资料】里",IF(N($M11)&gt;N($L11),"※已还本金大于典当金额",IF(AND($I11&lt;&gt;"",$J11&lt;&gt;"",$J11&lt;$I11),"※到期日早于当票日期",IF(AND($H11&lt;&gt;"",COUNTIF($H$4:$H$403,$H11)&gt;1),"※当票号在本表里出现了不止一次",IF(AND($L11&lt;&gt;"",$E11=""),"※有金额没写客户","")))))))</f>
        <v/>
      </c>
    </row>
    <row r="12">
      <c r="A12" s="18">
        <f>IF($E12="","",COUNTA($E$4:$E12))</f>
        <v/>
      </c>
      <c r="B12" s="12" t="inlineStr">
        <is>
          <t>个人典当</t>
        </is>
      </c>
      <c r="C12" s="12" t="inlineStr">
        <is>
          <t>黄金</t>
        </is>
      </c>
      <c r="D12" s="12" t="inlineStr">
        <is>
          <t>在当</t>
        </is>
      </c>
      <c r="E12" s="12" t="inlineStr">
        <is>
          <t>陈东</t>
        </is>
      </c>
      <c r="F12" s="12" t="n"/>
      <c r="G12" s="12" t="n"/>
      <c r="H12" s="12" t="n"/>
      <c r="I12" s="19" t="n"/>
      <c r="J12" s="19" t="n"/>
      <c r="K12" s="19" t="n">
        <v>46059</v>
      </c>
      <c r="L12" s="20" t="n">
        <v>40000</v>
      </c>
      <c r="M12" s="20" t="n"/>
      <c r="N12" s="22">
        <f>IF($E12="","",ROUND(N($L12)-N($M12),2))</f>
        <v/>
      </c>
      <c r="O12" s="21" t="n"/>
      <c r="P12" s="20" t="n">
        <v>1000</v>
      </c>
      <c r="Q12" s="12" t="inlineStr">
        <is>
          <t>5</t>
        </is>
      </c>
      <c r="R12" s="19" t="n">
        <v>46270</v>
      </c>
      <c r="S12" s="20" t="n"/>
      <c r="T12" s="20" t="n"/>
      <c r="U12" s="20" t="n"/>
      <c r="V12" s="12" t="n"/>
      <c r="W12" s="12" t="n"/>
      <c r="X12" s="18">
        <f>IF($E12="","",IF(AND($B12&lt;&gt;"",ISNA(MATCH($B12,机构表,0))),"※机构不在【资料】里",IF(AND($D12&lt;&gt;"",ISNA(MATCH($D12,状态表,0))),"※状态不在【资料】里",IF(N($M12)&gt;N($L12),"※已还本金大于典当金额",IF(AND($I12&lt;&gt;"",$J12&lt;&gt;"",$J12&lt;$I12),"※到期日早于当票日期",IF(AND($H12&lt;&gt;"",COUNTIF($H$4:$H$403,$H12)&gt;1),"※当票号在本表里出现了不止一次",IF(AND($L12&lt;&gt;"",$E12=""),"※有金额没写客户","")))))))</f>
        <v/>
      </c>
    </row>
    <row r="13">
      <c r="A13" s="18">
        <f>IF($E13="","",COUNTA($E$4:$E13))</f>
        <v/>
      </c>
      <c r="B13" s="12" t="inlineStr">
        <is>
          <t>个人典当</t>
        </is>
      </c>
      <c r="C13" s="12" t="inlineStr">
        <is>
          <t>黄金</t>
        </is>
      </c>
      <c r="D13" s="12" t="inlineStr">
        <is>
          <t>在当</t>
        </is>
      </c>
      <c r="E13" s="12" t="inlineStr">
        <is>
          <t>陈东</t>
        </is>
      </c>
      <c r="F13" s="12" t="n"/>
      <c r="G13" s="12" t="n"/>
      <c r="H13" s="12" t="n"/>
      <c r="I13" s="19" t="n"/>
      <c r="J13" s="19" t="n"/>
      <c r="K13" s="19" t="n">
        <v>46097</v>
      </c>
      <c r="L13" s="20" t="n">
        <v>20000</v>
      </c>
      <c r="M13" s="20" t="n"/>
      <c r="N13" s="22">
        <f>IF($E13="","",ROUND(N($L13)-N($M13),2))</f>
        <v/>
      </c>
      <c r="O13" s="21" t="n"/>
      <c r="P13" s="20" t="n">
        <v>500</v>
      </c>
      <c r="Q13" s="12" t="inlineStr">
        <is>
          <t>15</t>
        </is>
      </c>
      <c r="R13" s="19" t="n">
        <v>46280</v>
      </c>
      <c r="S13" s="20" t="n"/>
      <c r="T13" s="20" t="n"/>
      <c r="U13" s="20" t="n"/>
      <c r="V13" s="12" t="n"/>
      <c r="W13" s="12" t="n"/>
      <c r="X13" s="18">
        <f>IF($E13="","",IF(AND($B13&lt;&gt;"",ISNA(MATCH($B13,机构表,0))),"※机构不在【资料】里",IF(AND($D13&lt;&gt;"",ISNA(MATCH($D13,状态表,0))),"※状态不在【资料】里",IF(N($M13)&gt;N($L13),"※已还本金大于典当金额",IF(AND($I13&lt;&gt;"",$J13&lt;&gt;"",$J13&lt;$I13),"※到期日早于当票日期",IF(AND($H13&lt;&gt;"",COUNTIF($H$4:$H$403,$H13)&gt;1),"※当票号在本表里出现了不止一次",IF(AND($L13&lt;&gt;"",$E13=""),"※有金额没写客户","")))))))</f>
        <v/>
      </c>
    </row>
    <row r="14">
      <c r="A14" s="18">
        <f>IF($E14="","",COUNTA($E$4:$E14))</f>
        <v/>
      </c>
      <c r="B14" s="12" t="inlineStr">
        <is>
          <t>个人典当</t>
        </is>
      </c>
      <c r="C14" s="12" t="inlineStr">
        <is>
          <t>黄金+钻戒</t>
        </is>
      </c>
      <c r="D14" s="12" t="inlineStr">
        <is>
          <t>在当</t>
        </is>
      </c>
      <c r="E14" s="12" t="inlineStr">
        <is>
          <t>陈东</t>
        </is>
      </c>
      <c r="F14" s="12" t="n"/>
      <c r="G14" s="12" t="n"/>
      <c r="H14" s="12" t="n"/>
      <c r="I14" s="19" t="n"/>
      <c r="J14" s="19" t="n">
        <v>46135</v>
      </c>
      <c r="K14" s="19" t="n">
        <v>46105</v>
      </c>
      <c r="L14" s="20" t="n">
        <v>16000</v>
      </c>
      <c r="M14" s="20" t="n"/>
      <c r="N14" s="22">
        <f>IF($E14="","",ROUND(N($L14)-N($M14),2))</f>
        <v/>
      </c>
      <c r="O14" s="21" t="n"/>
      <c r="P14" s="20" t="n">
        <v>400</v>
      </c>
      <c r="Q14" s="12" t="inlineStr">
        <is>
          <t>23</t>
        </is>
      </c>
      <c r="R14" s="19" t="n">
        <v>46288</v>
      </c>
      <c r="S14" s="20" t="n"/>
      <c r="T14" s="20" t="n"/>
      <c r="U14" s="20" t="n"/>
      <c r="V14" s="12" t="n"/>
      <c r="W14" s="12" t="n"/>
      <c r="X14" s="18">
        <f>IF($E14="","",IF(AND($B14&lt;&gt;"",ISNA(MATCH($B14,机构表,0))),"※机构不在【资料】里",IF(AND($D14&lt;&gt;"",ISNA(MATCH($D14,状态表,0))),"※状态不在【资料】里",IF(N($M14)&gt;N($L14),"※已还本金大于典当金额",IF(AND($I14&lt;&gt;"",$J14&lt;&gt;"",$J14&lt;$I14),"※到期日早于当票日期",IF(AND($H14&lt;&gt;"",COUNTIF($H$4:$H$403,$H14)&gt;1),"※当票号在本表里出现了不止一次",IF(AND($L14&lt;&gt;"",$E14=""),"※有金额没写客户","")))))))</f>
        <v/>
      </c>
    </row>
    <row r="15">
      <c r="A15" s="18">
        <f>IF($E15="","",COUNTA($E$4:$E15))</f>
        <v/>
      </c>
      <c r="B15" s="12" t="inlineStr">
        <is>
          <t>个人典当</t>
        </is>
      </c>
      <c r="C15" s="12" t="inlineStr">
        <is>
          <t>黄金+钻戒</t>
        </is>
      </c>
      <c r="D15" s="12" t="inlineStr">
        <is>
          <t>在当</t>
        </is>
      </c>
      <c r="E15" s="12" t="inlineStr">
        <is>
          <t>陈东</t>
        </is>
      </c>
      <c r="F15" s="12" t="n"/>
      <c r="G15" s="12" t="n"/>
      <c r="H15" s="12" t="n"/>
      <c r="I15" s="19" t="n"/>
      <c r="J15" s="19" t="n"/>
      <c r="K15" s="19" t="n">
        <v>46209</v>
      </c>
      <c r="L15" s="20" t="n">
        <v>3600</v>
      </c>
      <c r="M15" s="20" t="n"/>
      <c r="N15" s="22">
        <f>IF($E15="","",ROUND(N($L15)-N($M15),2))</f>
        <v/>
      </c>
      <c r="O15" s="21" t="n"/>
      <c r="P15" s="20" t="n">
        <v>200</v>
      </c>
      <c r="Q15" s="12" t="inlineStr">
        <is>
          <t>6</t>
        </is>
      </c>
      <c r="R15" s="19" t="n">
        <v>46271</v>
      </c>
      <c r="S15" s="20" t="n"/>
      <c r="T15" s="20" t="n"/>
      <c r="U15" s="20" t="n"/>
      <c r="V15" s="12" t="n"/>
      <c r="W15" s="12" t="n"/>
      <c r="X15" s="18">
        <f>IF($E15="","",IF(AND($B15&lt;&gt;"",ISNA(MATCH($B15,机构表,0))),"※机构不在【资料】里",IF(AND($D15&lt;&gt;"",ISNA(MATCH($D15,状态表,0))),"※状态不在【资料】里",IF(N($M15)&gt;N($L15),"※已还本金大于典当金额",IF(AND($I15&lt;&gt;"",$J15&lt;&gt;"",$J15&lt;$I15),"※到期日早于当票日期",IF(AND($H15&lt;&gt;"",COUNTIF($H$4:$H$403,$H15)&gt;1),"※当票号在本表里出现了不止一次",IF(AND($L15&lt;&gt;"",$E15=""),"※有金额没写客户","")))))))</f>
        <v/>
      </c>
    </row>
    <row r="16">
      <c r="A16" s="18">
        <f>IF($E16="","",COUNTA($E$4:$E16))</f>
        <v/>
      </c>
      <c r="B16" s="12" t="inlineStr">
        <is>
          <t>个人典当</t>
        </is>
      </c>
      <c r="C16" s="12" t="inlineStr">
        <is>
          <t>黄金</t>
        </is>
      </c>
      <c r="D16" s="12" t="inlineStr">
        <is>
          <t>在当</t>
        </is>
      </c>
      <c r="E16" s="12" t="inlineStr">
        <is>
          <t>陈福荣</t>
        </is>
      </c>
      <c r="F16" s="12" t="n"/>
      <c r="G16" s="12" t="n"/>
      <c r="H16" s="12" t="n"/>
      <c r="I16" s="19" t="n"/>
      <c r="J16" s="19" t="n"/>
      <c r="K16" s="19" t="n">
        <v>45594</v>
      </c>
      <c r="L16" s="20" t="n">
        <v>1500</v>
      </c>
      <c r="M16" s="20" t="n"/>
      <c r="N16" s="22">
        <f>IF($E16="","",ROUND(N($L16)-N($M16),2))</f>
        <v/>
      </c>
      <c r="O16" s="21" t="n"/>
      <c r="P16" s="20" t="n">
        <v>70</v>
      </c>
      <c r="Q16" s="12" t="inlineStr">
        <is>
          <t>28</t>
        </is>
      </c>
      <c r="R16" s="19" t="n">
        <v>46293</v>
      </c>
      <c r="S16" s="20" t="n"/>
      <c r="T16" s="20" t="n"/>
      <c r="U16" s="20" t="n"/>
      <c r="V16" s="12" t="n"/>
      <c r="W16" s="12" t="n"/>
      <c r="X16" s="18">
        <f>IF($E16="","",IF(AND($B16&lt;&gt;"",ISNA(MATCH($B16,机构表,0))),"※机构不在【资料】里",IF(AND($D16&lt;&gt;"",ISNA(MATCH($D16,状态表,0))),"※状态不在【资料】里",IF(N($M16)&gt;N($L16),"※已还本金大于典当金额",IF(AND($I16&lt;&gt;"",$J16&lt;&gt;"",$J16&lt;$I16),"※到期日早于当票日期",IF(AND($H16&lt;&gt;"",COUNTIF($H$4:$H$403,$H16)&gt;1),"※当票号在本表里出现了不止一次",IF(AND($L16&lt;&gt;"",$E16=""),"※有金额没写客户","")))))))</f>
        <v/>
      </c>
    </row>
    <row r="17">
      <c r="A17" s="18">
        <f>IF($E17="","",COUNTA($E$4:$E17))</f>
        <v/>
      </c>
      <c r="B17" s="12" t="inlineStr">
        <is>
          <t>金辉典当</t>
        </is>
      </c>
      <c r="C17" s="12" t="inlineStr">
        <is>
          <t>房产</t>
        </is>
      </c>
      <c r="D17" s="12" t="inlineStr">
        <is>
          <t>在当</t>
        </is>
      </c>
      <c r="E17" s="12" t="inlineStr">
        <is>
          <t>陈建华</t>
        </is>
      </c>
      <c r="F17" s="12" t="n"/>
      <c r="G17" s="12" t="n"/>
      <c r="H17" s="12" t="inlineStr">
        <is>
          <t>3524019230</t>
        </is>
      </c>
      <c r="I17" s="19" t="n">
        <v>46173</v>
      </c>
      <c r="J17" s="19" t="n">
        <v>46202</v>
      </c>
      <c r="K17" s="19" t="n"/>
      <c r="L17" s="20" t="n">
        <v>200000</v>
      </c>
      <c r="M17" s="20" t="n"/>
      <c r="N17" s="22">
        <f>IF($E17="","",ROUND(N($L17)-N($M17),2))</f>
        <v/>
      </c>
      <c r="O17" s="21" t="n">
        <v>0.025</v>
      </c>
      <c r="P17" s="20" t="n">
        <v>5000</v>
      </c>
      <c r="Q17" s="12" t="inlineStr">
        <is>
          <t>1</t>
        </is>
      </c>
      <c r="R17" s="19" t="n">
        <v>46266</v>
      </c>
      <c r="S17" s="20" t="n"/>
      <c r="T17" s="20" t="n"/>
      <c r="U17" s="20" t="n"/>
      <c r="V17" s="12" t="n"/>
      <c r="W17" s="12" t="n"/>
      <c r="X17" s="18">
        <f>IF($E17="","",IF(AND($B17&lt;&gt;"",ISNA(MATCH($B17,机构表,0))),"※机构不在【资料】里",IF(AND($D17&lt;&gt;"",ISNA(MATCH($D17,状态表,0))),"※状态不在【资料】里",IF(N($M17)&gt;N($L17),"※已还本金大于典当金额",IF(AND($I17&lt;&gt;"",$J17&lt;&gt;"",$J17&lt;$I17),"※到期日早于当票日期",IF(AND($H17&lt;&gt;"",COUNTIF($H$4:$H$403,$H17)&gt;1),"※当票号在本表里出现了不止一次",IF(AND($L17&lt;&gt;"",$E17=""),"※有金额没写客户","")))))))</f>
        <v/>
      </c>
    </row>
    <row r="18">
      <c r="A18" s="18">
        <f>IF($E18="","",COUNTA($E$4:$E18))</f>
        <v/>
      </c>
      <c r="B18" s="12" t="inlineStr">
        <is>
          <t>金辉典当</t>
        </is>
      </c>
      <c r="C18" s="12" t="inlineStr">
        <is>
          <t>房产</t>
        </is>
      </c>
      <c r="D18" s="12" t="inlineStr">
        <is>
          <t>在当</t>
        </is>
      </c>
      <c r="E18" s="12" t="inlineStr">
        <is>
          <t>陈锦珍</t>
        </is>
      </c>
      <c r="F18" s="12" t="n"/>
      <c r="G18" s="12" t="n"/>
      <c r="H18" s="12" t="inlineStr">
        <is>
          <t>3519228949</t>
        </is>
      </c>
      <c r="I18" s="19" t="n">
        <v>45457</v>
      </c>
      <c r="J18" s="19" t="n">
        <v>45636</v>
      </c>
      <c r="K18" s="19" t="n">
        <v>45460</v>
      </c>
      <c r="L18" s="20" t="n">
        <v>1000000</v>
      </c>
      <c r="M18" s="20" t="n"/>
      <c r="N18" s="22">
        <f>IF($E18="","",ROUND(N($L18)-N($M18),2))</f>
        <v/>
      </c>
      <c r="O18" s="21" t="n">
        <v>0.018</v>
      </c>
      <c r="P18" s="20" t="n">
        <v>18000</v>
      </c>
      <c r="Q18" s="12" t="inlineStr">
        <is>
          <t>12</t>
        </is>
      </c>
      <c r="R18" s="19" t="n">
        <v>46124</v>
      </c>
      <c r="S18" s="20" t="n"/>
      <c r="T18" s="20" t="n"/>
      <c r="U18" s="20" t="n"/>
      <c r="V18" s="12" t="inlineStr">
        <is>
          <t>先息</t>
        </is>
      </c>
      <c r="W18" s="12" t="n"/>
      <c r="X18" s="18">
        <f>IF($E18="","",IF(AND($B18&lt;&gt;"",ISNA(MATCH($B18,机构表,0))),"※机构不在【资料】里",IF(AND($D18&lt;&gt;"",ISNA(MATCH($D18,状态表,0))),"※状态不在【资料】里",IF(N($M18)&gt;N($L18),"※已还本金大于典当金额",IF(AND($I18&lt;&gt;"",$J18&lt;&gt;"",$J18&lt;$I18),"※到期日早于当票日期",IF(AND($H18&lt;&gt;"",COUNTIF($H$4:$H$403,$H18)&gt;1),"※当票号在本表里出现了不止一次",IF(AND($L18&lt;&gt;"",$E18=""),"※有金额没写客户","")))))))</f>
        <v/>
      </c>
    </row>
    <row r="19">
      <c r="A19" s="18">
        <f>IF($E19="","",COUNTA($E$4:$E19))</f>
        <v/>
      </c>
      <c r="B19" s="12" t="inlineStr">
        <is>
          <t>个人典当</t>
        </is>
      </c>
      <c r="C19" s="12" t="inlineStr">
        <is>
          <t>车子</t>
        </is>
      </c>
      <c r="D19" s="12" t="inlineStr">
        <is>
          <t>逾期-未起诉</t>
        </is>
      </c>
      <c r="E19" s="12" t="inlineStr">
        <is>
          <t>陈景昭</t>
        </is>
      </c>
      <c r="F19" s="12" t="n"/>
      <c r="G19" s="12" t="n"/>
      <c r="H19" s="12" t="n"/>
      <c r="I19" s="19" t="n"/>
      <c r="J19" s="19" t="n"/>
      <c r="K19" s="19" t="n">
        <v>45584</v>
      </c>
      <c r="L19" s="20" t="n">
        <v>100000</v>
      </c>
      <c r="M19" s="20" t="n"/>
      <c r="N19" s="22">
        <f>IF($E19="","",ROUND(N($L19)-N($M19),2))</f>
        <v/>
      </c>
      <c r="O19" s="21" t="n"/>
      <c r="P19" s="20" t="n">
        <v>2850</v>
      </c>
      <c r="Q19" s="12" t="inlineStr">
        <is>
          <t>19</t>
        </is>
      </c>
      <c r="R19" s="19" t="n">
        <v>46161</v>
      </c>
      <c r="S19" s="20" t="n"/>
      <c r="T19" s="20" t="n"/>
      <c r="U19" s="20" t="n"/>
      <c r="V19" s="12" t="n"/>
      <c r="W19" s="12" t="n"/>
      <c r="X19" s="18">
        <f>IF($E19="","",IF(AND($B19&lt;&gt;"",ISNA(MATCH($B19,机构表,0))),"※机构不在【资料】里",IF(AND($D19&lt;&gt;"",ISNA(MATCH($D19,状态表,0))),"※状态不在【资料】里",IF(N($M19)&gt;N($L19),"※已还本金大于典当金额",IF(AND($I19&lt;&gt;"",$J19&lt;&gt;"",$J19&lt;$I19),"※到期日早于当票日期",IF(AND($H19&lt;&gt;"",COUNTIF($H$4:$H$403,$H19)&gt;1),"※当票号在本表里出现了不止一次",IF(AND($L19&lt;&gt;"",$E19=""),"※有金额没写客户","")))))))</f>
        <v/>
      </c>
    </row>
    <row r="20">
      <c r="A20" s="18">
        <f>IF($E20="","",COUNTA($E$4:$E20))</f>
        <v/>
      </c>
      <c r="B20" s="12" t="inlineStr">
        <is>
          <t>金辉典当</t>
        </is>
      </c>
      <c r="C20" s="12" t="inlineStr">
        <is>
          <t>名品</t>
        </is>
      </c>
      <c r="D20" s="12" t="inlineStr">
        <is>
          <t>虚当</t>
        </is>
      </c>
      <c r="E20" s="12" t="inlineStr">
        <is>
          <t>陈乐贵</t>
        </is>
      </c>
      <c r="F20" s="12" t="n"/>
      <c r="G20" s="12" t="n"/>
      <c r="H20" s="12" t="inlineStr">
        <is>
          <t>3519237782</t>
        </is>
      </c>
      <c r="I20" s="19" t="n">
        <v>45484</v>
      </c>
      <c r="J20" s="19" t="n">
        <v>45663</v>
      </c>
      <c r="K20" s="19" t="n">
        <v>45484</v>
      </c>
      <c r="L20" s="20" t="n">
        <v>500000</v>
      </c>
      <c r="M20" s="20" t="n"/>
      <c r="N20" s="22">
        <f>IF($E20="","",ROUND(N($L20)-N($M20),2))</f>
        <v/>
      </c>
      <c r="O20" s="21" t="n">
        <v>0.005</v>
      </c>
      <c r="P20" s="20" t="n"/>
      <c r="Q20" s="12" t="n"/>
      <c r="R20" s="19" t="n">
        <v>45513</v>
      </c>
      <c r="S20" s="20" t="n"/>
      <c r="T20" s="20" t="n"/>
      <c r="U20" s="20" t="n"/>
      <c r="V20" s="12" t="inlineStr">
        <is>
          <t>后息</t>
        </is>
      </c>
      <c r="W20" s="12" t="n"/>
      <c r="X20" s="18">
        <f>IF($E20="","",IF(AND($B20&lt;&gt;"",ISNA(MATCH($B20,机构表,0))),"※机构不在【资料】里",IF(AND($D20&lt;&gt;"",ISNA(MATCH($D20,状态表,0))),"※状态不在【资料】里",IF(N($M20)&gt;N($L20),"※已还本金大于典当金额",IF(AND($I20&lt;&gt;"",$J20&lt;&gt;"",$J20&lt;$I20),"※到期日早于当票日期",IF(AND($H20&lt;&gt;"",COUNTIF($H$4:$H$403,$H20)&gt;1),"※当票号在本表里出现了不止一次",IF(AND($L20&lt;&gt;"",$E20=""),"※有金额没写客户","")))))))</f>
        <v/>
      </c>
    </row>
    <row r="21">
      <c r="A21" s="18">
        <f>IF($E21="","",COUNTA($E$4:$E21))</f>
        <v/>
      </c>
      <c r="B21" s="12" t="inlineStr">
        <is>
          <t>金辉典当</t>
        </is>
      </c>
      <c r="C21" s="12" t="inlineStr">
        <is>
          <t>动产</t>
        </is>
      </c>
      <c r="D21" s="12" t="inlineStr">
        <is>
          <t>虚当</t>
        </is>
      </c>
      <c r="E21" s="12" t="inlineStr">
        <is>
          <t>陈乐贵</t>
        </is>
      </c>
      <c r="F21" s="12" t="n"/>
      <c r="G21" s="12" t="n"/>
      <c r="H21" s="12" t="inlineStr">
        <is>
          <t>3519260516</t>
        </is>
      </c>
      <c r="I21" s="19" t="n">
        <v>46059</v>
      </c>
      <c r="J21" s="19" t="n"/>
      <c r="K21" s="19" t="n">
        <v>45484</v>
      </c>
      <c r="L21" s="20" t="n">
        <v>500000</v>
      </c>
      <c r="M21" s="20" t="n"/>
      <c r="N21" s="22">
        <f>IF($E21="","",ROUND(N($L21)-N($M21),2))</f>
        <v/>
      </c>
      <c r="O21" s="21" t="n">
        <v>0.005</v>
      </c>
      <c r="P21" s="20" t="n"/>
      <c r="Q21" s="12" t="n"/>
      <c r="R21" s="19" t="n">
        <v>46059</v>
      </c>
      <c r="S21" s="20" t="n"/>
      <c r="T21" s="20" t="n"/>
      <c r="U21" s="20" t="n"/>
      <c r="V21" s="12" t="inlineStr">
        <is>
          <t>后息</t>
        </is>
      </c>
      <c r="W21" s="12" t="n"/>
      <c r="X21" s="18">
        <f>IF($E21="","",IF(AND($B21&lt;&gt;"",ISNA(MATCH($B21,机构表,0))),"※机构不在【资料】里",IF(AND($D21&lt;&gt;"",ISNA(MATCH($D21,状态表,0))),"※状态不在【资料】里",IF(N($M21)&gt;N($L21),"※已还本金大于典当金额",IF(AND($I21&lt;&gt;"",$J21&lt;&gt;"",$J21&lt;$I21),"※到期日早于当票日期",IF(AND($H21&lt;&gt;"",COUNTIF($H$4:$H$403,$H21)&gt;1),"※当票号在本表里出现了不止一次",IF(AND($L21&lt;&gt;"",$E21=""),"※有金额没写客户","")))))))</f>
        <v/>
      </c>
    </row>
    <row r="22">
      <c r="A22" s="18">
        <f>IF($E22="","",COUNTA($E$4:$E22))</f>
        <v/>
      </c>
      <c r="B22" s="12" t="inlineStr">
        <is>
          <t>个人典当</t>
        </is>
      </c>
      <c r="C22" s="12" t="inlineStr">
        <is>
          <t>股票配资</t>
        </is>
      </c>
      <c r="D22" s="12" t="inlineStr">
        <is>
          <t>虚当</t>
        </is>
      </c>
      <c r="E22" s="12" t="inlineStr">
        <is>
          <t>陈乐贵</t>
        </is>
      </c>
      <c r="F22" s="12" t="n"/>
      <c r="G22" s="12" t="n"/>
      <c r="H22" s="12" t="n"/>
      <c r="I22" s="19" t="n"/>
      <c r="J22" s="19" t="n"/>
      <c r="K22" s="19" t="n">
        <v>46174</v>
      </c>
      <c r="L22" s="20" t="n">
        <v>600000</v>
      </c>
      <c r="M22" s="20" t="n"/>
      <c r="N22" s="22">
        <f>IF($E22="","",ROUND(N($L22)-N($M22),2))</f>
        <v/>
      </c>
      <c r="O22" s="21" t="n"/>
      <c r="P22" s="20" t="n">
        <v>9000</v>
      </c>
      <c r="Q22" s="12" t="n"/>
      <c r="R22" s="19" t="n">
        <v>46235</v>
      </c>
      <c r="S22" s="20" t="n"/>
      <c r="T22" s="20" t="n"/>
      <c r="U22" s="20" t="n"/>
      <c r="V22" s="12" t="n"/>
      <c r="W22" s="12" t="n"/>
      <c r="X22" s="18">
        <f>IF($E22="","",IF(AND($B22&lt;&gt;"",ISNA(MATCH($B22,机构表,0))),"※机构不在【资料】里",IF(AND($D22&lt;&gt;"",ISNA(MATCH($D22,状态表,0))),"※状态不在【资料】里",IF(N($M22)&gt;N($L22),"※已还本金大于典当金额",IF(AND($I22&lt;&gt;"",$J22&lt;&gt;"",$J22&lt;$I22),"※到期日早于当票日期",IF(AND($H22&lt;&gt;"",COUNTIF($H$4:$H$403,$H22)&gt;1),"※当票号在本表里出现了不止一次",IF(AND($L22&lt;&gt;"",$E22=""),"※有金额没写客户","")))))))</f>
        <v/>
      </c>
    </row>
    <row r="23">
      <c r="A23" s="18">
        <f>IF($E23="","",COUNTA($E$4:$E23))</f>
        <v/>
      </c>
      <c r="B23" s="12" t="inlineStr">
        <is>
          <t>个人典当</t>
        </is>
      </c>
      <c r="C23" s="12" t="inlineStr">
        <is>
          <t>黄金</t>
        </is>
      </c>
      <c r="D23" s="12" t="inlineStr">
        <is>
          <t>在当</t>
        </is>
      </c>
      <c r="E23" s="12" t="inlineStr">
        <is>
          <t>陈立</t>
        </is>
      </c>
      <c r="F23" s="12" t="n"/>
      <c r="G23" s="12" t="n"/>
      <c r="H23" s="12" t="n"/>
      <c r="I23" s="19" t="n"/>
      <c r="J23" s="19" t="n">
        <v>45978</v>
      </c>
      <c r="K23" s="19" t="n">
        <v>45949</v>
      </c>
      <c r="L23" s="20" t="n">
        <v>8500</v>
      </c>
      <c r="M23" s="20" t="n"/>
      <c r="N23" s="22">
        <f>IF($E23="","",ROUND(N($L23)-N($M23),2))</f>
        <v/>
      </c>
      <c r="O23" s="21" t="n"/>
      <c r="P23" s="20" t="n">
        <v>210</v>
      </c>
      <c r="Q23" s="12" t="inlineStr">
        <is>
          <t>17</t>
        </is>
      </c>
      <c r="R23" s="19" t="n">
        <v>46282</v>
      </c>
      <c r="S23" s="20" t="n"/>
      <c r="T23" s="20" t="n"/>
      <c r="U23" s="20" t="n"/>
      <c r="V23" s="12" t="n"/>
      <c r="W23" s="12" t="n"/>
      <c r="X23" s="18">
        <f>IF($E23="","",IF(AND($B23&lt;&gt;"",ISNA(MATCH($B23,机构表,0))),"※机构不在【资料】里",IF(AND($D23&lt;&gt;"",ISNA(MATCH($D23,状态表,0))),"※状态不在【资料】里",IF(N($M23)&gt;N($L23),"※已还本金大于典当金额",IF(AND($I23&lt;&gt;"",$J23&lt;&gt;"",$J23&lt;$I23),"※到期日早于当票日期",IF(AND($H23&lt;&gt;"",COUNTIF($H$4:$H$403,$H23)&gt;1),"※当票号在本表里出现了不止一次",IF(AND($L23&lt;&gt;"",$E23=""),"※有金额没写客户","")))))))</f>
        <v/>
      </c>
    </row>
    <row r="24">
      <c r="A24" s="18">
        <f>IF($E24="","",COUNTA($E$4:$E24))</f>
        <v/>
      </c>
      <c r="B24" s="12" t="inlineStr">
        <is>
          <t>个人典当</t>
        </is>
      </c>
      <c r="C24" s="12" t="inlineStr">
        <is>
          <t>黄金+钻戒</t>
        </is>
      </c>
      <c r="D24" s="12" t="inlineStr">
        <is>
          <t>在当</t>
        </is>
      </c>
      <c r="E24" s="12" t="inlineStr">
        <is>
          <t>陈隆鑫</t>
        </is>
      </c>
      <c r="F24" s="12" t="n"/>
      <c r="G24" s="12" t="n"/>
      <c r="H24" s="12" t="n"/>
      <c r="I24" s="19" t="n"/>
      <c r="J24" s="19" t="n">
        <v>46156</v>
      </c>
      <c r="K24" s="19" t="n">
        <v>46127</v>
      </c>
      <c r="L24" s="20" t="n">
        <v>26000</v>
      </c>
      <c r="M24" s="20" t="n"/>
      <c r="N24" s="22">
        <f>IF($E24="","",ROUND(N($L24)-N($M24),2))</f>
        <v/>
      </c>
      <c r="O24" s="21" t="n"/>
      <c r="P24" s="20" t="n">
        <v>600</v>
      </c>
      <c r="Q24" s="12" t="inlineStr">
        <is>
          <t>14</t>
        </is>
      </c>
      <c r="R24" s="19" t="n">
        <v>46279</v>
      </c>
      <c r="S24" s="20" t="n"/>
      <c r="T24" s="20" t="n"/>
      <c r="U24" s="20" t="n"/>
      <c r="V24" s="12" t="n"/>
      <c r="W24" s="12" t="n"/>
      <c r="X24" s="18">
        <f>IF($E24="","",IF(AND($B24&lt;&gt;"",ISNA(MATCH($B24,机构表,0))),"※机构不在【资料】里",IF(AND($D24&lt;&gt;"",ISNA(MATCH($D24,状态表,0))),"※状态不在【资料】里",IF(N($M24)&gt;N($L24),"※已还本金大于典当金额",IF(AND($I24&lt;&gt;"",$J24&lt;&gt;"",$J24&lt;$I24),"※到期日早于当票日期",IF(AND($H24&lt;&gt;"",COUNTIF($H$4:$H$403,$H24)&gt;1),"※当票号在本表里出现了不止一次",IF(AND($L24&lt;&gt;"",$E24=""),"※有金额没写客户","")))))))</f>
        <v/>
      </c>
    </row>
    <row r="25">
      <c r="A25" s="18">
        <f>IF($E25="","",COUNTA($E$4:$E25))</f>
        <v/>
      </c>
      <c r="B25" s="12" t="inlineStr">
        <is>
          <t>个人典当</t>
        </is>
      </c>
      <c r="C25" s="12" t="inlineStr">
        <is>
          <t>黄金</t>
        </is>
      </c>
      <c r="D25" s="12" t="inlineStr">
        <is>
          <t>在当</t>
        </is>
      </c>
      <c r="E25" s="12" t="inlineStr">
        <is>
          <t>陈隆鑫</t>
        </is>
      </c>
      <c r="F25" s="12" t="n"/>
      <c r="G25" s="12" t="n"/>
      <c r="H25" s="12" t="n"/>
      <c r="I25" s="19" t="n"/>
      <c r="J25" s="19" t="n">
        <v>46156</v>
      </c>
      <c r="K25" s="19" t="n">
        <v>46127</v>
      </c>
      <c r="L25" s="20" t="n">
        <v>4700</v>
      </c>
      <c r="M25" s="20" t="n"/>
      <c r="N25" s="22">
        <f>IF($E25="","",ROUND(N($L25)-N($M25),2))</f>
        <v/>
      </c>
      <c r="O25" s="21" t="n"/>
      <c r="P25" s="20" t="n">
        <v>120</v>
      </c>
      <c r="Q25" s="12" t="inlineStr">
        <is>
          <t>14</t>
        </is>
      </c>
      <c r="R25" s="19" t="n">
        <v>46279</v>
      </c>
      <c r="S25" s="20" t="n"/>
      <c r="T25" s="20" t="n"/>
      <c r="U25" s="20" t="n"/>
      <c r="V25" s="12" t="n"/>
      <c r="W25" s="12" t="n"/>
      <c r="X25" s="18">
        <f>IF($E25="","",IF(AND($B25&lt;&gt;"",ISNA(MATCH($B25,机构表,0))),"※机构不在【资料】里",IF(AND($D25&lt;&gt;"",ISNA(MATCH($D25,状态表,0))),"※状态不在【资料】里",IF(N($M25)&gt;N($L25),"※已还本金大于典当金额",IF(AND($I25&lt;&gt;"",$J25&lt;&gt;"",$J25&lt;$I25),"※到期日早于当票日期",IF(AND($H25&lt;&gt;"",COUNTIF($H$4:$H$403,$H25)&gt;1),"※当票号在本表里出现了不止一次",IF(AND($L25&lt;&gt;"",$E25=""),"※有金额没写客户","")))))))</f>
        <v/>
      </c>
    </row>
    <row r="26">
      <c r="A26" s="18">
        <f>IF($E26="","",COUNTA($E$4:$E26))</f>
        <v/>
      </c>
      <c r="B26" s="12" t="inlineStr">
        <is>
          <t>个人典当</t>
        </is>
      </c>
      <c r="C26" s="12" t="inlineStr">
        <is>
          <t>黄金</t>
        </is>
      </c>
      <c r="D26" s="12" t="inlineStr">
        <is>
          <t>在当</t>
        </is>
      </c>
      <c r="E26" s="12" t="inlineStr">
        <is>
          <t>陈敏峰</t>
        </is>
      </c>
      <c r="F26" s="12" t="n"/>
      <c r="G26" s="12" t="n"/>
      <c r="H26" s="12" t="n"/>
      <c r="I26" s="19" t="n"/>
      <c r="J26" s="19" t="n"/>
      <c r="K26" s="19" t="n">
        <v>46158</v>
      </c>
      <c r="L26" s="20" t="n">
        <v>5000</v>
      </c>
      <c r="M26" s="20" t="n"/>
      <c r="N26" s="22">
        <f>IF($E26="","",ROUND(N($L26)-N($M26),2))</f>
        <v/>
      </c>
      <c r="O26" s="21" t="n"/>
      <c r="P26" s="20" t="n">
        <v>120</v>
      </c>
      <c r="Q26" s="12" t="inlineStr">
        <is>
          <t>15</t>
        </is>
      </c>
      <c r="R26" s="19" t="n">
        <v>46280</v>
      </c>
      <c r="S26" s="20" t="n"/>
      <c r="T26" s="20" t="n"/>
      <c r="U26" s="20" t="n"/>
      <c r="V26" s="12" t="n"/>
      <c r="W26" s="12" t="n"/>
      <c r="X26" s="18">
        <f>IF($E26="","",IF(AND($B26&lt;&gt;"",ISNA(MATCH($B26,机构表,0))),"※机构不在【资料】里",IF(AND($D26&lt;&gt;"",ISNA(MATCH($D26,状态表,0))),"※状态不在【资料】里",IF(N($M26)&gt;N($L26),"※已还本金大于典当金额",IF(AND($I26&lt;&gt;"",$J26&lt;&gt;"",$J26&lt;$I26),"※到期日早于当票日期",IF(AND($H26&lt;&gt;"",COUNTIF($H$4:$H$403,$H26)&gt;1),"※当票号在本表里出现了不止一次",IF(AND($L26&lt;&gt;"",$E26=""),"※有金额没写客户","")))))))</f>
        <v/>
      </c>
    </row>
    <row r="27">
      <c r="A27" s="18">
        <f>IF($E27="","",COUNTA($E$4:$E27))</f>
        <v/>
      </c>
      <c r="B27" s="12" t="inlineStr">
        <is>
          <t>个人典当</t>
        </is>
      </c>
      <c r="C27" s="12" t="inlineStr">
        <is>
          <t>私人借款</t>
        </is>
      </c>
      <c r="D27" s="12" t="inlineStr">
        <is>
          <t>在当-无息</t>
        </is>
      </c>
      <c r="E27" s="12" t="inlineStr">
        <is>
          <t>陈庆生</t>
        </is>
      </c>
      <c r="F27" s="12" t="n"/>
      <c r="G27" s="12" t="n"/>
      <c r="H27" s="12" t="n"/>
      <c r="I27" s="19" t="n"/>
      <c r="J27" s="19" t="n">
        <v>46182</v>
      </c>
      <c r="K27" s="19" t="n">
        <v>46169</v>
      </c>
      <c r="L27" s="20" t="n">
        <v>700000</v>
      </c>
      <c r="M27" s="20" t="n"/>
      <c r="N27" s="22">
        <f>IF($E27="","",ROUND(N($L27)-N($M27),2))</f>
        <v/>
      </c>
      <c r="O27" s="21" t="n"/>
      <c r="P27" s="20" t="n"/>
      <c r="Q27" s="12" t="inlineStr">
        <is>
          <t>27</t>
        </is>
      </c>
      <c r="R27" s="19" t="n">
        <v>46169</v>
      </c>
      <c r="S27" s="20" t="n"/>
      <c r="T27" s="20" t="n"/>
      <c r="U27" s="20" t="n"/>
      <c r="V27" s="12" t="n"/>
      <c r="W27" s="12" t="n"/>
      <c r="X27" s="18">
        <f>IF($E27="","",IF(AND($B27&lt;&gt;"",ISNA(MATCH($B27,机构表,0))),"※机构不在【资料】里",IF(AND($D27&lt;&gt;"",ISNA(MATCH($D27,状态表,0))),"※状态不在【资料】里",IF(N($M27)&gt;N($L27),"※已还本金大于典当金额",IF(AND($I27&lt;&gt;"",$J27&lt;&gt;"",$J27&lt;$I27),"※到期日早于当票日期",IF(AND($H27&lt;&gt;"",COUNTIF($H$4:$H$403,$H27)&gt;1),"※当票号在本表里出现了不止一次",IF(AND($L27&lt;&gt;"",$E27=""),"※有金额没写客户","")))))))</f>
        <v/>
      </c>
    </row>
    <row r="28">
      <c r="A28" s="18">
        <f>IF($E28="","",COUNTA($E$4:$E28))</f>
        <v/>
      </c>
      <c r="B28" s="12" t="inlineStr">
        <is>
          <t>个人典当</t>
        </is>
      </c>
      <c r="C28" s="12" t="inlineStr">
        <is>
          <t>私人借款</t>
        </is>
      </c>
      <c r="D28" s="12" t="inlineStr">
        <is>
          <t>逾期-未起诉</t>
        </is>
      </c>
      <c r="E28" s="12" t="inlineStr">
        <is>
          <t>陈秋龙</t>
        </is>
      </c>
      <c r="F28" s="12" t="n"/>
      <c r="G28" s="12" t="n"/>
      <c r="H28" s="12" t="n"/>
      <c r="I28" s="19" t="n"/>
      <c r="J28" s="19" t="n"/>
      <c r="K28" s="19" t="n">
        <v>45333</v>
      </c>
      <c r="L28" s="20" t="n">
        <v>150000</v>
      </c>
      <c r="M28" s="20" t="n"/>
      <c r="N28" s="22">
        <f>IF($E28="","",ROUND(N($L28)-N($M28),2))</f>
        <v/>
      </c>
      <c r="O28" s="21" t="n"/>
      <c r="P28" s="20" t="n">
        <v>3750</v>
      </c>
      <c r="Q28" s="12" t="inlineStr">
        <is>
          <t>10</t>
        </is>
      </c>
      <c r="R28" s="19" t="n">
        <v>46001</v>
      </c>
      <c r="S28" s="20" t="n"/>
      <c r="T28" s="20" t="n"/>
      <c r="U28" s="20" t="n"/>
      <c r="V28" s="12" t="n"/>
      <c r="W28" s="12" t="n"/>
      <c r="X28" s="18">
        <f>IF($E28="","",IF(AND($B28&lt;&gt;"",ISNA(MATCH($B28,机构表,0))),"※机构不在【资料】里",IF(AND($D28&lt;&gt;"",ISNA(MATCH($D28,状态表,0))),"※状态不在【资料】里",IF(N($M28)&gt;N($L28),"※已还本金大于典当金额",IF(AND($I28&lt;&gt;"",$J28&lt;&gt;"",$J28&lt;$I28),"※到期日早于当票日期",IF(AND($H28&lt;&gt;"",COUNTIF($H$4:$H$403,$H28)&gt;1),"※当票号在本表里出现了不止一次",IF(AND($L28&lt;&gt;"",$E28=""),"※有金额没写客户","")))))))</f>
        <v/>
      </c>
    </row>
    <row r="29">
      <c r="A29" s="18">
        <f>IF($E29="","",COUNTA($E$4:$E29))</f>
        <v/>
      </c>
      <c r="B29" s="12" t="inlineStr">
        <is>
          <t>金辉典当</t>
        </is>
      </c>
      <c r="C29" s="12" t="inlineStr">
        <is>
          <t>房产</t>
        </is>
      </c>
      <c r="D29" s="12" t="inlineStr">
        <is>
          <t>起诉</t>
        </is>
      </c>
      <c r="E29" s="12" t="inlineStr">
        <is>
          <t>陈勇</t>
        </is>
      </c>
      <c r="F29" s="12" t="n"/>
      <c r="G29" s="12" t="n"/>
      <c r="H29" s="12" t="n"/>
      <c r="I29" s="19" t="n">
        <v>44893</v>
      </c>
      <c r="J29" s="19" t="n"/>
      <c r="K29" s="19" t="n">
        <v>45227</v>
      </c>
      <c r="L29" s="20" t="n">
        <v>50000</v>
      </c>
      <c r="M29" s="20" t="n"/>
      <c r="N29" s="22">
        <f>IF($E29="","",ROUND(N($L29)-N($M29),2))</f>
        <v/>
      </c>
      <c r="O29" s="21" t="n">
        <v>0.025</v>
      </c>
      <c r="P29" s="20" t="n">
        <v>1250</v>
      </c>
      <c r="Q29" s="12" t="inlineStr">
        <is>
          <t>28</t>
        </is>
      </c>
      <c r="R29" s="19" t="n">
        <v>45197</v>
      </c>
      <c r="S29" s="20" t="n"/>
      <c r="T29" s="20" t="n"/>
      <c r="U29" s="20" t="n">
        <v>1250</v>
      </c>
      <c r="V29" s="12" t="inlineStr">
        <is>
          <t>先息</t>
        </is>
      </c>
      <c r="W29" s="12" t="n"/>
      <c r="X29" s="18">
        <f>IF($E29="","",IF(AND($B29&lt;&gt;"",ISNA(MATCH($B29,机构表,0))),"※机构不在【资料】里",IF(AND($D29&lt;&gt;"",ISNA(MATCH($D29,状态表,0))),"※状态不在【资料】里",IF(N($M29)&gt;N($L29),"※已还本金大于典当金额",IF(AND($I29&lt;&gt;"",$J29&lt;&gt;"",$J29&lt;$I29),"※到期日早于当票日期",IF(AND($H29&lt;&gt;"",COUNTIF($H$4:$H$403,$H29)&gt;1),"※当票号在本表里出现了不止一次",IF(AND($L29&lt;&gt;"",$E29=""),"※有金额没写客户","")))))))</f>
        <v/>
      </c>
    </row>
    <row r="30">
      <c r="A30" s="18">
        <f>IF($E30="","",COUNTA($E$4:$E30))</f>
        <v/>
      </c>
      <c r="B30" s="12" t="inlineStr">
        <is>
          <t>金辉典当</t>
        </is>
      </c>
      <c r="C30" s="12" t="inlineStr">
        <is>
          <t>房产</t>
        </is>
      </c>
      <c r="D30" s="12" t="inlineStr">
        <is>
          <t>在当</t>
        </is>
      </c>
      <c r="E30" s="12" t="inlineStr">
        <is>
          <t>陈跃飞</t>
        </is>
      </c>
      <c r="F30" s="12" t="n"/>
      <c r="G30" s="12" t="n"/>
      <c r="H30" s="12" t="inlineStr">
        <is>
          <t>3519252793</t>
        </is>
      </c>
      <c r="I30" s="19" t="n">
        <v>45821</v>
      </c>
      <c r="J30" s="19" t="n">
        <v>45910</v>
      </c>
      <c r="K30" s="19" t="n"/>
      <c r="L30" s="20" t="n">
        <v>60000</v>
      </c>
      <c r="M30" s="20" t="n"/>
      <c r="N30" s="22">
        <f>IF($E30="","",ROUND(N($L30)-N($M30),2))</f>
        <v/>
      </c>
      <c r="O30" s="21" t="n">
        <v>0.025</v>
      </c>
      <c r="P30" s="20" t="n">
        <v>1500</v>
      </c>
      <c r="Q30" s="12" t="inlineStr">
        <is>
          <t>14</t>
        </is>
      </c>
      <c r="R30" s="19" t="n">
        <v>46279</v>
      </c>
      <c r="S30" s="20" t="n"/>
      <c r="T30" s="20" t="n"/>
      <c r="U30" s="20" t="n"/>
      <c r="V30" s="12" t="inlineStr">
        <is>
          <t>先息</t>
        </is>
      </c>
      <c r="W30" s="12" t="n"/>
      <c r="X30" s="18">
        <f>IF($E30="","",IF(AND($B30&lt;&gt;"",ISNA(MATCH($B30,机构表,0))),"※机构不在【资料】里",IF(AND($D30&lt;&gt;"",ISNA(MATCH($D30,状态表,0))),"※状态不在【资料】里",IF(N($M30)&gt;N($L30),"※已还本金大于典当金额",IF(AND($I30&lt;&gt;"",$J30&lt;&gt;"",$J30&lt;$I30),"※到期日早于当票日期",IF(AND($H30&lt;&gt;"",COUNTIF($H$4:$H$403,$H30)&gt;1),"※当票号在本表里出现了不止一次",IF(AND($L30&lt;&gt;"",$E30=""),"※有金额没写客户","")))))))</f>
        <v/>
      </c>
    </row>
    <row r="31">
      <c r="A31" s="18">
        <f>IF($E31="","",COUNTA($E$4:$E31))</f>
        <v/>
      </c>
      <c r="B31" s="12" t="inlineStr">
        <is>
          <t>金辉典当</t>
        </is>
      </c>
      <c r="C31" s="12" t="inlineStr">
        <is>
          <t>房产</t>
        </is>
      </c>
      <c r="D31" s="12" t="inlineStr">
        <is>
          <t>在当</t>
        </is>
      </c>
      <c r="E31" s="12" t="inlineStr">
        <is>
          <t>陈征</t>
        </is>
      </c>
      <c r="F31" s="12" t="n"/>
      <c r="G31" s="12" t="n"/>
      <c r="H31" s="12" t="n"/>
      <c r="I31" s="19" t="n">
        <v>45982</v>
      </c>
      <c r="J31" s="19" t="n">
        <v>46072</v>
      </c>
      <c r="K31" s="19" t="n"/>
      <c r="L31" s="20" t="n">
        <v>200000</v>
      </c>
      <c r="M31" s="20" t="n"/>
      <c r="N31" s="22">
        <f>IF($E31="","",ROUND(N($L31)-N($M31),2))</f>
        <v/>
      </c>
      <c r="O31" s="21" t="n">
        <v>0.025</v>
      </c>
      <c r="P31" s="20" t="n">
        <v>5000</v>
      </c>
      <c r="Q31" s="12" t="inlineStr">
        <is>
          <t>20</t>
        </is>
      </c>
      <c r="R31" s="19" t="n">
        <v>46285</v>
      </c>
      <c r="S31" s="20" t="n"/>
      <c r="T31" s="20" t="n"/>
      <c r="U31" s="20" t="n"/>
      <c r="V31" s="12" t="inlineStr">
        <is>
          <t>先息</t>
        </is>
      </c>
      <c r="W31" s="12" t="n"/>
      <c r="X31" s="18">
        <f>IF($E31="","",IF(AND($B31&lt;&gt;"",ISNA(MATCH($B31,机构表,0))),"※机构不在【资料】里",IF(AND($D31&lt;&gt;"",ISNA(MATCH($D31,状态表,0))),"※状态不在【资料】里",IF(N($M31)&gt;N($L31),"※已还本金大于典当金额",IF(AND($I31&lt;&gt;"",$J31&lt;&gt;"",$J31&lt;$I31),"※到期日早于当票日期",IF(AND($H31&lt;&gt;"",COUNTIF($H$4:$H$403,$H31)&gt;1),"※当票号在本表里出现了不止一次",IF(AND($L31&lt;&gt;"",$E31=""),"※有金额没写客户","")))))))</f>
        <v/>
      </c>
    </row>
    <row r="32">
      <c r="A32" s="18">
        <f>IF($E32="","",COUNTA($E$4:$E32))</f>
        <v/>
      </c>
      <c r="B32" s="12" t="inlineStr">
        <is>
          <t>个人典当</t>
        </is>
      </c>
      <c r="C32" s="12" t="inlineStr">
        <is>
          <t>车子</t>
        </is>
      </c>
      <c r="D32" s="12" t="inlineStr">
        <is>
          <t>在当</t>
        </is>
      </c>
      <c r="E32" s="12" t="inlineStr">
        <is>
          <t>陈征</t>
        </is>
      </c>
      <c r="F32" s="12" t="n"/>
      <c r="G32" s="12" t="n"/>
      <c r="H32" s="12" t="n"/>
      <c r="I32" s="19" t="n"/>
      <c r="J32" s="19" t="n"/>
      <c r="K32" s="19" t="n">
        <v>45919</v>
      </c>
      <c r="L32" s="20" t="n">
        <v>100000</v>
      </c>
      <c r="M32" s="20" t="n"/>
      <c r="N32" s="22">
        <f>IF($E32="","",ROUND(N($L32)-N($M32),2))</f>
        <v/>
      </c>
      <c r="O32" s="21" t="n"/>
      <c r="P32" s="20" t="n">
        <v>3000</v>
      </c>
      <c r="Q32" s="12" t="inlineStr">
        <is>
          <t>18</t>
        </is>
      </c>
      <c r="R32" s="19" t="n">
        <v>46283</v>
      </c>
      <c r="S32" s="20" t="n"/>
      <c r="T32" s="20" t="n"/>
      <c r="U32" s="20" t="n"/>
      <c r="V32" s="12" t="n"/>
      <c r="W32" s="12" t="n"/>
      <c r="X32" s="18">
        <f>IF($E32="","",IF(AND($B32&lt;&gt;"",ISNA(MATCH($B32,机构表,0))),"※机构不在【资料】里",IF(AND($D32&lt;&gt;"",ISNA(MATCH($D32,状态表,0))),"※状态不在【资料】里",IF(N($M32)&gt;N($L32),"※已还本金大于典当金额",IF(AND($I32&lt;&gt;"",$J32&lt;&gt;"",$J32&lt;$I32),"※到期日早于当票日期",IF(AND($H32&lt;&gt;"",COUNTIF($H$4:$H$403,$H32)&gt;1),"※当票号在本表里出现了不止一次",IF(AND($L32&lt;&gt;"",$E32=""),"※有金额没写客户","")))))))</f>
        <v/>
      </c>
    </row>
    <row r="33">
      <c r="A33" s="18">
        <f>IF($E33="","",COUNTA($E$4:$E33))</f>
        <v/>
      </c>
      <c r="B33" s="12" t="inlineStr">
        <is>
          <t>金辉典当</t>
        </is>
      </c>
      <c r="C33" s="12" t="inlineStr">
        <is>
          <t>车子</t>
        </is>
      </c>
      <c r="D33" s="12" t="inlineStr">
        <is>
          <t>在当</t>
        </is>
      </c>
      <c r="E33" s="12" t="inlineStr">
        <is>
          <t>陈忠军</t>
        </is>
      </c>
      <c r="F33" s="12" t="n"/>
      <c r="G33" s="12" t="n"/>
      <c r="H33" s="12" t="inlineStr">
        <is>
          <t>3524019226</t>
        </is>
      </c>
      <c r="I33" s="19" t="n">
        <v>46160</v>
      </c>
      <c r="J33" s="19" t="n">
        <v>46219</v>
      </c>
      <c r="K33" s="19" t="n"/>
      <c r="L33" s="20" t="n">
        <v>93000</v>
      </c>
      <c r="M33" s="20" t="n"/>
      <c r="N33" s="22">
        <f>IF($E33="","",ROUND(N($L33)-N($M33),2))</f>
        <v/>
      </c>
      <c r="O33" s="21" t="n">
        <v>0.005</v>
      </c>
      <c r="P33" s="20" t="n">
        <v>2875</v>
      </c>
      <c r="Q33" s="12" t="inlineStr">
        <is>
          <t>17</t>
        </is>
      </c>
      <c r="R33" s="19" t="n">
        <v>46282</v>
      </c>
      <c r="S33" s="20" t="n">
        <v>465</v>
      </c>
      <c r="T33" s="20" t="n"/>
      <c r="U33" s="20" t="n"/>
      <c r="V33" s="12" t="n"/>
      <c r="W33" s="12" t="n"/>
      <c r="X33" s="18">
        <f>IF($E33="","",IF(AND($B33&lt;&gt;"",ISNA(MATCH($B33,机构表,0))),"※机构不在【资料】里",IF(AND($D33&lt;&gt;"",ISNA(MATCH($D33,状态表,0))),"※状态不在【资料】里",IF(N($M33)&gt;N($L33),"※已还本金大于典当金额",IF(AND($I33&lt;&gt;"",$J33&lt;&gt;"",$J33&lt;$I33),"※到期日早于当票日期",IF(AND($H33&lt;&gt;"",COUNTIF($H$4:$H$403,$H33)&gt;1),"※当票号在本表里出现了不止一次",IF(AND($L33&lt;&gt;"",$E33=""),"※有金额没写客户","")))))))</f>
        <v/>
      </c>
    </row>
    <row r="34">
      <c r="A34" s="18">
        <f>IF($E34="","",COUNTA($E$4:$E34))</f>
        <v/>
      </c>
      <c r="B34" s="12" t="inlineStr">
        <is>
          <t>个人典当</t>
        </is>
      </c>
      <c r="C34" s="12" t="inlineStr">
        <is>
          <t>手表</t>
        </is>
      </c>
      <c r="D34" s="12" t="inlineStr">
        <is>
          <t>在当</t>
        </is>
      </c>
      <c r="E34" s="12" t="inlineStr">
        <is>
          <t>池鸿</t>
        </is>
      </c>
      <c r="F34" s="12" t="n"/>
      <c r="G34" s="12" t="n"/>
      <c r="H34" s="12" t="n"/>
      <c r="I34" s="19" t="n"/>
      <c r="J34" s="19" t="n"/>
      <c r="K34" s="19" t="n">
        <v>46135</v>
      </c>
      <c r="L34" s="20" t="n">
        <v>60000</v>
      </c>
      <c r="M34" s="20" t="n"/>
      <c r="N34" s="22">
        <f>IF($E34="","",ROUND(N($L34)-N($M34),2))</f>
        <v/>
      </c>
      <c r="O34" s="21" t="n"/>
      <c r="P34" s="20" t="n">
        <v>1500</v>
      </c>
      <c r="Q34" s="12" t="inlineStr">
        <is>
          <t>22</t>
        </is>
      </c>
      <c r="R34" s="19" t="n">
        <v>46287</v>
      </c>
      <c r="S34" s="20" t="n"/>
      <c r="T34" s="20" t="n"/>
      <c r="U34" s="20" t="n"/>
      <c r="V34" s="12" t="n"/>
      <c r="W34" s="12" t="n"/>
      <c r="X34" s="18">
        <f>IF($E34="","",IF(AND($B34&lt;&gt;"",ISNA(MATCH($B34,机构表,0))),"※机构不在【资料】里",IF(AND($D34&lt;&gt;"",ISNA(MATCH($D34,状态表,0))),"※状态不在【资料】里",IF(N($M34)&gt;N($L34),"※已还本金大于典当金额",IF(AND($I34&lt;&gt;"",$J34&lt;&gt;"",$J34&lt;$I34),"※到期日早于当票日期",IF(AND($H34&lt;&gt;"",COUNTIF($H$4:$H$403,$H34)&gt;1),"※当票号在本表里出现了不止一次",IF(AND($L34&lt;&gt;"",$E34=""),"※有金额没写客户","")))))))</f>
        <v/>
      </c>
    </row>
    <row r="35">
      <c r="A35" s="18">
        <f>IF($E35="","",COUNTA($E$4:$E35))</f>
        <v/>
      </c>
      <c r="B35" s="12" t="inlineStr">
        <is>
          <t>个人典当</t>
        </is>
      </c>
      <c r="C35" s="12" t="inlineStr">
        <is>
          <t>黄金</t>
        </is>
      </c>
      <c r="D35" s="12" t="inlineStr">
        <is>
          <t>在当</t>
        </is>
      </c>
      <c r="E35" s="12" t="inlineStr">
        <is>
          <t>董智宇</t>
        </is>
      </c>
      <c r="F35" s="12" t="n"/>
      <c r="G35" s="12" t="n"/>
      <c r="H35" s="12" t="n"/>
      <c r="I35" s="19" t="n"/>
      <c r="J35" s="19" t="n"/>
      <c r="K35" s="19" t="n">
        <v>46171</v>
      </c>
      <c r="L35" s="20" t="n">
        <v>6000</v>
      </c>
      <c r="M35" s="20" t="n"/>
      <c r="N35" s="22">
        <f>IF($E35="","",ROUND(N($L35)-N($M35),2))</f>
        <v/>
      </c>
      <c r="O35" s="21" t="n"/>
      <c r="P35" s="20" t="n">
        <v>200</v>
      </c>
      <c r="Q35" s="12" t="inlineStr">
        <is>
          <t>28</t>
        </is>
      </c>
      <c r="R35" s="19" t="n">
        <v>46293</v>
      </c>
      <c r="S35" s="20" t="n"/>
      <c r="T35" s="20" t="n"/>
      <c r="U35" s="20" t="n"/>
      <c r="V35" s="12" t="n"/>
      <c r="W35" s="12" t="n"/>
      <c r="X35" s="18">
        <f>IF($E35="","",IF(AND($B35&lt;&gt;"",ISNA(MATCH($B35,机构表,0))),"※机构不在【资料】里",IF(AND($D35&lt;&gt;"",ISNA(MATCH($D35,状态表,0))),"※状态不在【资料】里",IF(N($M35)&gt;N($L35),"※已还本金大于典当金额",IF(AND($I35&lt;&gt;"",$J35&lt;&gt;"",$J35&lt;$I35),"※到期日早于当票日期",IF(AND($H35&lt;&gt;"",COUNTIF($H$4:$H$403,$H35)&gt;1),"※当票号在本表里出现了不止一次",IF(AND($L35&lt;&gt;"",$E35=""),"※有金额没写客户","")))))))</f>
        <v/>
      </c>
    </row>
    <row r="36">
      <c r="A36" s="18">
        <f>IF($E36="","",COUNTA($E$4:$E36))</f>
        <v/>
      </c>
      <c r="B36" s="12" t="inlineStr">
        <is>
          <t>个人典当</t>
        </is>
      </c>
      <c r="C36" s="12" t="inlineStr">
        <is>
          <t>房产</t>
        </is>
      </c>
      <c r="D36" s="12" t="inlineStr">
        <is>
          <t>在当</t>
        </is>
      </c>
      <c r="E36" s="12" t="inlineStr">
        <is>
          <t>杜若</t>
        </is>
      </c>
      <c r="F36" s="12" t="n"/>
      <c r="G36" s="12" t="n"/>
      <c r="H36" s="12" t="n"/>
      <c r="I36" s="19" t="n"/>
      <c r="J36" s="19" t="n">
        <v>45690</v>
      </c>
      <c r="K36" s="19" t="n">
        <v>45631</v>
      </c>
      <c r="L36" s="20" t="n">
        <v>2600000</v>
      </c>
      <c r="M36" s="20" t="n"/>
      <c r="N36" s="22">
        <f>IF($E36="","",ROUND(N($L36)-N($M36),2))</f>
        <v/>
      </c>
      <c r="O36" s="21" t="n"/>
      <c r="P36" s="20" t="n">
        <v>72800</v>
      </c>
      <c r="Q36" s="12" t="inlineStr">
        <is>
          <t>3</t>
        </is>
      </c>
      <c r="R36" s="19" t="n">
        <v>46268</v>
      </c>
      <c r="S36" s="20" t="n"/>
      <c r="T36" s="20" t="n"/>
      <c r="U36" s="20" t="n"/>
      <c r="V36" s="12" t="n"/>
      <c r="W36" s="12" t="n"/>
      <c r="X36" s="18">
        <f>IF($E36="","",IF(AND($B36&lt;&gt;"",ISNA(MATCH($B36,机构表,0))),"※机构不在【资料】里",IF(AND($D36&lt;&gt;"",ISNA(MATCH($D36,状态表,0))),"※状态不在【资料】里",IF(N($M36)&gt;N($L36),"※已还本金大于典当金额",IF(AND($I36&lt;&gt;"",$J36&lt;&gt;"",$J36&lt;$I36),"※到期日早于当票日期",IF(AND($H36&lt;&gt;"",COUNTIF($H$4:$H$403,$H36)&gt;1),"※当票号在本表里出现了不止一次",IF(AND($L36&lt;&gt;"",$E36=""),"※有金额没写客户","")))))))</f>
        <v/>
      </c>
    </row>
    <row r="37">
      <c r="A37" s="18">
        <f>IF($E37="","",COUNTA($E$4:$E37))</f>
        <v/>
      </c>
      <c r="B37" s="12" t="inlineStr">
        <is>
          <t>金辉典当</t>
        </is>
      </c>
      <c r="C37" s="12" t="inlineStr">
        <is>
          <t>车位</t>
        </is>
      </c>
      <c r="D37" s="12" t="inlineStr">
        <is>
          <t>在当</t>
        </is>
      </c>
      <c r="E37" s="12" t="inlineStr">
        <is>
          <t>方楚钰</t>
        </is>
      </c>
      <c r="F37" s="12" t="n"/>
      <c r="G37" s="12" t="n"/>
      <c r="H37" s="12" t="inlineStr">
        <is>
          <t>3519121346</t>
        </is>
      </c>
      <c r="I37" s="19" t="n">
        <v>44453</v>
      </c>
      <c r="J37" s="19" t="n"/>
      <c r="K37" s="19" t="n">
        <v>45246</v>
      </c>
      <c r="L37" s="20" t="n">
        <v>50000</v>
      </c>
      <c r="M37" s="20" t="n"/>
      <c r="N37" s="22">
        <f>IF($E37="","",ROUND(N($L37)-N($M37),2))</f>
        <v/>
      </c>
      <c r="O37" s="21" t="n">
        <v>0.025</v>
      </c>
      <c r="P37" s="20" t="n">
        <v>1250</v>
      </c>
      <c r="Q37" s="12" t="inlineStr">
        <is>
          <t>15</t>
        </is>
      </c>
      <c r="R37" s="19" t="n">
        <v>46280</v>
      </c>
      <c r="S37" s="20" t="n"/>
      <c r="T37" s="20" t="n"/>
      <c r="U37" s="20" t="n">
        <v>2500</v>
      </c>
      <c r="V37" s="12" t="inlineStr">
        <is>
          <t>先息</t>
        </is>
      </c>
      <c r="W37" s="12" t="inlineStr">
        <is>
          <t>个人账户收款2500元/月</t>
        </is>
      </c>
      <c r="X37" s="18">
        <f>IF($E37="","",IF(AND($B37&lt;&gt;"",ISNA(MATCH($B37,机构表,0))),"※机构不在【资料】里",IF(AND($D37&lt;&gt;"",ISNA(MATCH($D37,状态表,0))),"※状态不在【资料】里",IF(N($M37)&gt;N($L37),"※已还本金大于典当金额",IF(AND($I37&lt;&gt;"",$J37&lt;&gt;"",$J37&lt;$I37),"※到期日早于当票日期",IF(AND($H37&lt;&gt;"",COUNTIF($H$4:$H$403,$H37)&gt;1),"※当票号在本表里出现了不止一次",IF(AND($L37&lt;&gt;"",$E37=""),"※有金额没写客户","")))))))</f>
        <v/>
      </c>
    </row>
    <row r="38">
      <c r="A38" s="18">
        <f>IF($E38="","",COUNTA($E$4:$E38))</f>
        <v/>
      </c>
      <c r="B38" s="12" t="inlineStr">
        <is>
          <t>个人典当</t>
        </is>
      </c>
      <c r="C38" s="12" t="inlineStr">
        <is>
          <t>渠道</t>
        </is>
      </c>
      <c r="D38" s="12" t="inlineStr">
        <is>
          <t>在当</t>
        </is>
      </c>
      <c r="E38" s="12" t="inlineStr">
        <is>
          <t>方楚钰</t>
        </is>
      </c>
      <c r="F38" s="12" t="n"/>
      <c r="G38" s="12" t="n"/>
      <c r="H38" s="12" t="n"/>
      <c r="I38" s="19" t="n"/>
      <c r="J38" s="19" t="n"/>
      <c r="K38" s="19" t="n">
        <v>44088</v>
      </c>
      <c r="L38" s="20" t="n">
        <v>50000</v>
      </c>
      <c r="M38" s="20" t="n"/>
      <c r="N38" s="22">
        <f>IF($E38="","",ROUND(N($L38)-N($M38),2))</f>
        <v/>
      </c>
      <c r="O38" s="21" t="n"/>
      <c r="P38" s="20" t="n">
        <v>1250</v>
      </c>
      <c r="Q38" s="12" t="inlineStr">
        <is>
          <t>15</t>
        </is>
      </c>
      <c r="R38" s="19" t="n">
        <v>46280</v>
      </c>
      <c r="S38" s="20" t="n"/>
      <c r="T38" s="20" t="n"/>
      <c r="U38" s="20" t="n"/>
      <c r="V38" s="12" t="n"/>
      <c r="W38" s="12" t="inlineStr">
        <is>
          <t>转林木英1250元/月</t>
        </is>
      </c>
      <c r="X38" s="18">
        <f>IF($E38="","",IF(AND($B38&lt;&gt;"",ISNA(MATCH($B38,机构表,0))),"※机构不在【资料】里",IF(AND($D38&lt;&gt;"",ISNA(MATCH($D38,状态表,0))),"※状态不在【资料】里",IF(N($M38)&gt;N($L38),"※已还本金大于典当金额",IF(AND($I38&lt;&gt;"",$J38&lt;&gt;"",$J38&lt;$I38),"※到期日早于当票日期",IF(AND($H38&lt;&gt;"",COUNTIF($H$4:$H$403,$H38)&gt;1),"※当票号在本表里出现了不止一次",IF(AND($L38&lt;&gt;"",$E38=""),"※有金额没写客户","")))))))</f>
        <v/>
      </c>
    </row>
    <row r="39">
      <c r="A39" s="18">
        <f>IF($E39="","",COUNTA($E$4:$E39))</f>
        <v/>
      </c>
      <c r="B39" s="12" t="inlineStr">
        <is>
          <t>金辉典当</t>
        </is>
      </c>
      <c r="C39" s="12" t="inlineStr">
        <is>
          <t>车位</t>
        </is>
      </c>
      <c r="D39" s="12" t="inlineStr">
        <is>
          <t>在当</t>
        </is>
      </c>
      <c r="E39" s="12" t="inlineStr">
        <is>
          <t>方士雯</t>
        </is>
      </c>
      <c r="F39" s="12" t="n"/>
      <c r="G39" s="12" t="n"/>
      <c r="H39" s="12" t="inlineStr">
        <is>
          <t>3519252785</t>
        </is>
      </c>
      <c r="I39" s="19" t="n">
        <v>45758</v>
      </c>
      <c r="J39" s="19" t="n">
        <v>45846</v>
      </c>
      <c r="K39" s="19" t="n"/>
      <c r="L39" s="20" t="n">
        <v>45000</v>
      </c>
      <c r="M39" s="20" t="n"/>
      <c r="N39" s="22">
        <f>IF($E39="","",ROUND(N($L39)-N($M39),2))</f>
        <v/>
      </c>
      <c r="O39" s="21" t="n">
        <v>0.03</v>
      </c>
      <c r="P39" s="20" t="n">
        <v>1350</v>
      </c>
      <c r="Q39" s="12" t="inlineStr">
        <is>
          <t>10</t>
        </is>
      </c>
      <c r="R39" s="19" t="n">
        <v>46275</v>
      </c>
      <c r="S39" s="20" t="n"/>
      <c r="T39" s="20" t="n"/>
      <c r="U39" s="20" t="n"/>
      <c r="V39" s="12" t="inlineStr">
        <is>
          <t>先息</t>
        </is>
      </c>
      <c r="W39" s="12" t="n"/>
      <c r="X39" s="18">
        <f>IF($E39="","",IF(AND($B39&lt;&gt;"",ISNA(MATCH($B39,机构表,0))),"※机构不在【资料】里",IF(AND($D39&lt;&gt;"",ISNA(MATCH($D39,状态表,0))),"※状态不在【资料】里",IF(N($M39)&gt;N($L39),"※已还本金大于典当金额",IF(AND($I39&lt;&gt;"",$J39&lt;&gt;"",$J39&lt;$I39),"※到期日早于当票日期",IF(AND($H39&lt;&gt;"",COUNTIF($H$4:$H$403,$H39)&gt;1),"※当票号在本表里出现了不止一次",IF(AND($L39&lt;&gt;"",$E39=""),"※有金额没写客户","")))))))</f>
        <v/>
      </c>
    </row>
    <row r="40">
      <c r="A40" s="18">
        <f>IF($E40="","",COUNTA($E$4:$E40))</f>
        <v/>
      </c>
      <c r="B40" s="12" t="inlineStr">
        <is>
          <t>个人典当</t>
        </is>
      </c>
      <c r="C40" s="12" t="inlineStr">
        <is>
          <t>私人借款</t>
        </is>
      </c>
      <c r="D40" s="12" t="inlineStr">
        <is>
          <t>在当</t>
        </is>
      </c>
      <c r="E40" s="12" t="inlineStr">
        <is>
          <t>高文玉</t>
        </is>
      </c>
      <c r="F40" s="12" t="n"/>
      <c r="G40" s="12" t="n"/>
      <c r="H40" s="12" t="n"/>
      <c r="I40" s="19" t="n"/>
      <c r="J40" s="19" t="n">
        <v>45576</v>
      </c>
      <c r="K40" s="19" t="n">
        <v>45519</v>
      </c>
      <c r="L40" s="20" t="n">
        <v>154000</v>
      </c>
      <c r="M40" s="20" t="n"/>
      <c r="N40" s="22">
        <f>IF($E40="","",ROUND(N($L40)-N($M40),2))</f>
        <v/>
      </c>
      <c r="O40" s="21" t="n"/>
      <c r="P40" s="20" t="n">
        <v>7000</v>
      </c>
      <c r="Q40" s="12" t="inlineStr">
        <is>
          <t>10</t>
        </is>
      </c>
      <c r="R40" s="19" t="n">
        <v>45787</v>
      </c>
      <c r="S40" s="20" t="n"/>
      <c r="T40" s="20" t="n"/>
      <c r="U40" s="20" t="n"/>
      <c r="V40" s="12" t="n"/>
      <c r="W40" s="12" t="n"/>
      <c r="X40" s="18">
        <f>IF($E40="","",IF(AND($B40&lt;&gt;"",ISNA(MATCH($B40,机构表,0))),"※机构不在【资料】里",IF(AND($D40&lt;&gt;"",ISNA(MATCH($D40,状态表,0))),"※状态不在【资料】里",IF(N($M40)&gt;N($L40),"※已还本金大于典当金额",IF(AND($I40&lt;&gt;"",$J40&lt;&gt;"",$J40&lt;$I40),"※到期日早于当票日期",IF(AND($H40&lt;&gt;"",COUNTIF($H$4:$H$403,$H40)&gt;1),"※当票号在本表里出现了不止一次",IF(AND($L40&lt;&gt;"",$E40=""),"※有金额没写客户","")))))))</f>
        <v/>
      </c>
    </row>
    <row r="41">
      <c r="A41" s="18">
        <f>IF($E41="","",COUNTA($E$4:$E41))</f>
        <v/>
      </c>
      <c r="B41" s="12" t="inlineStr">
        <is>
          <t>金辉典当</t>
        </is>
      </c>
      <c r="C41" s="12" t="inlineStr">
        <is>
          <t>车位</t>
        </is>
      </c>
      <c r="D41" s="12" t="inlineStr">
        <is>
          <t>在当</t>
        </is>
      </c>
      <c r="E41" s="12" t="inlineStr">
        <is>
          <t>郭联兵</t>
        </is>
      </c>
      <c r="F41" s="12" t="n"/>
      <c r="G41" s="12" t="n"/>
      <c r="H41" s="12" t="inlineStr">
        <is>
          <t>3519156582</t>
        </is>
      </c>
      <c r="I41" s="19" t="n">
        <v>44578</v>
      </c>
      <c r="J41" s="19" t="n"/>
      <c r="K41" s="19" t="n">
        <v>45250</v>
      </c>
      <c r="L41" s="20" t="n">
        <v>100000</v>
      </c>
      <c r="M41" s="20" t="n"/>
      <c r="N41" s="22">
        <f>IF($E41="","",ROUND(N($L41)-N($M41),2))</f>
        <v/>
      </c>
      <c r="O41" s="21" t="n">
        <v>0.027</v>
      </c>
      <c r="P41" s="20" t="n">
        <v>2700</v>
      </c>
      <c r="Q41" s="12" t="inlineStr">
        <is>
          <t>15</t>
        </is>
      </c>
      <c r="R41" s="19" t="n">
        <v>46280</v>
      </c>
      <c r="S41" s="20" t="n"/>
      <c r="T41" s="20" t="n"/>
      <c r="U41" s="20" t="n">
        <v>2700</v>
      </c>
      <c r="V41" s="12" t="inlineStr">
        <is>
          <t>先息</t>
        </is>
      </c>
      <c r="W41" s="12" t="n"/>
      <c r="X41" s="18">
        <f>IF($E41="","",IF(AND($B41&lt;&gt;"",ISNA(MATCH($B41,机构表,0))),"※机构不在【资料】里",IF(AND($D41&lt;&gt;"",ISNA(MATCH($D41,状态表,0))),"※状态不在【资料】里",IF(N($M41)&gt;N($L41),"※已还本金大于典当金额",IF(AND($I41&lt;&gt;"",$J41&lt;&gt;"",$J41&lt;$I41),"※到期日早于当票日期",IF(AND($H41&lt;&gt;"",COUNTIF($H$4:$H$403,$H41)&gt;1),"※当票号在本表里出现了不止一次",IF(AND($L41&lt;&gt;"",$E41=""),"※有金额没写客户","")))))))</f>
        <v/>
      </c>
    </row>
    <row r="42">
      <c r="A42" s="18">
        <f>IF($E42="","",COUNTA($E$4:$E42))</f>
        <v/>
      </c>
      <c r="B42" s="12" t="inlineStr">
        <is>
          <t>金辉典当</t>
        </is>
      </c>
      <c r="C42" s="12" t="inlineStr">
        <is>
          <t>黄金</t>
        </is>
      </c>
      <c r="D42" s="12" t="inlineStr">
        <is>
          <t>在当</t>
        </is>
      </c>
      <c r="E42" s="12" t="inlineStr">
        <is>
          <t>何博文</t>
        </is>
      </c>
      <c r="F42" s="12" t="n"/>
      <c r="G42" s="12" t="n"/>
      <c r="H42" s="12" t="inlineStr">
        <is>
          <t>3524019233</t>
        </is>
      </c>
      <c r="I42" s="19" t="n">
        <v>46183</v>
      </c>
      <c r="J42" s="19" t="n">
        <v>46362</v>
      </c>
      <c r="K42" s="19" t="n"/>
      <c r="L42" s="20" t="n">
        <v>18000</v>
      </c>
      <c r="M42" s="20" t="n"/>
      <c r="N42" s="22">
        <f>IF($E42="","",ROUND(N($L42)-N($M42),2))</f>
        <v/>
      </c>
      <c r="O42" s="21" t="n">
        <v>0.005</v>
      </c>
      <c r="P42" s="20" t="n">
        <v>540</v>
      </c>
      <c r="Q42" s="12" t="inlineStr">
        <is>
          <t>9</t>
        </is>
      </c>
      <c r="R42" s="19" t="n">
        <v>46274</v>
      </c>
      <c r="S42" s="20" t="n">
        <v>90</v>
      </c>
      <c r="T42" s="20" t="n"/>
      <c r="U42" s="20" t="n"/>
      <c r="V42" s="12" t="n"/>
      <c r="W42" s="12" t="n"/>
      <c r="X42" s="18">
        <f>IF($E42="","",IF(AND($B42&lt;&gt;"",ISNA(MATCH($B42,机构表,0))),"※机构不在【资料】里",IF(AND($D42&lt;&gt;"",ISNA(MATCH($D42,状态表,0))),"※状态不在【资料】里",IF(N($M42)&gt;N($L42),"※已还本金大于典当金额",IF(AND($I42&lt;&gt;"",$J42&lt;&gt;"",$J42&lt;$I42),"※到期日早于当票日期",IF(AND($H42&lt;&gt;"",COUNTIF($H$4:$H$403,$H42)&gt;1),"※当票号在本表里出现了不止一次",IF(AND($L42&lt;&gt;"",$E42=""),"※有金额没写客户","")))))))</f>
        <v/>
      </c>
    </row>
    <row r="43">
      <c r="A43" s="18">
        <f>IF($E43="","",COUNTA($E$4:$E43))</f>
        <v/>
      </c>
      <c r="B43" s="12" t="inlineStr">
        <is>
          <t>个人典当</t>
        </is>
      </c>
      <c r="C43" s="12" t="inlineStr">
        <is>
          <t>黄金</t>
        </is>
      </c>
      <c r="D43" s="12" t="inlineStr">
        <is>
          <t>在当</t>
        </is>
      </c>
      <c r="E43" s="12" t="inlineStr">
        <is>
          <t>何博文</t>
        </is>
      </c>
      <c r="F43" s="12" t="n"/>
      <c r="G43" s="12" t="n"/>
      <c r="H43" s="12" t="n"/>
      <c r="I43" s="19" t="n"/>
      <c r="J43" s="19" t="n"/>
      <c r="K43" s="19" t="n">
        <v>46134</v>
      </c>
      <c r="L43" s="20" t="n">
        <v>20000</v>
      </c>
      <c r="M43" s="20" t="n"/>
      <c r="N43" s="22">
        <f>IF($E43="","",ROUND(N($L43)-N($M43),2))</f>
        <v/>
      </c>
      <c r="O43" s="21" t="n"/>
      <c r="P43" s="20" t="n">
        <v>600</v>
      </c>
      <c r="Q43" s="12" t="inlineStr">
        <is>
          <t>21</t>
        </is>
      </c>
      <c r="R43" s="19" t="n">
        <v>46286</v>
      </c>
      <c r="S43" s="20" t="n"/>
      <c r="T43" s="20" t="n"/>
      <c r="U43" s="20" t="n"/>
      <c r="V43" s="12" t="n"/>
      <c r="W43" s="12" t="n"/>
      <c r="X43" s="18">
        <f>IF($E43="","",IF(AND($B43&lt;&gt;"",ISNA(MATCH($B43,机构表,0))),"※机构不在【资料】里",IF(AND($D43&lt;&gt;"",ISNA(MATCH($D43,状态表,0))),"※状态不在【资料】里",IF(N($M43)&gt;N($L43),"※已还本金大于典当金额",IF(AND($I43&lt;&gt;"",$J43&lt;&gt;"",$J43&lt;$I43),"※到期日早于当票日期",IF(AND($H43&lt;&gt;"",COUNTIF($H$4:$H$403,$H43)&gt;1),"※当票号在本表里出现了不止一次",IF(AND($L43&lt;&gt;"",$E43=""),"※有金额没写客户","")))))))</f>
        <v/>
      </c>
    </row>
    <row r="44">
      <c r="A44" s="18">
        <f>IF($E44="","",COUNTA($E$4:$E44))</f>
        <v/>
      </c>
      <c r="B44" s="12" t="inlineStr">
        <is>
          <t>个人典当</t>
        </is>
      </c>
      <c r="C44" s="12" t="inlineStr">
        <is>
          <t>黄金</t>
        </is>
      </c>
      <c r="D44" s="12" t="inlineStr">
        <is>
          <t>在当</t>
        </is>
      </c>
      <c r="E44" s="12" t="inlineStr">
        <is>
          <t>张妍</t>
        </is>
      </c>
      <c r="F44" s="12" t="n"/>
      <c r="G44" s="12" t="n"/>
      <c r="H44" s="12" t="n"/>
      <c r="I44" s="19" t="n"/>
      <c r="J44" s="19" t="n"/>
      <c r="K44" s="19" t="n">
        <v>46123</v>
      </c>
      <c r="L44" s="20" t="n">
        <v>9600</v>
      </c>
      <c r="M44" s="20" t="n"/>
      <c r="N44" s="22">
        <f>IF($E44="","",ROUND(N($L44)-N($M44),2))</f>
        <v/>
      </c>
      <c r="O44" s="21" t="n"/>
      <c r="P44" s="20" t="n">
        <v>300</v>
      </c>
      <c r="Q44" s="12" t="inlineStr">
        <is>
          <t>10</t>
        </is>
      </c>
      <c r="R44" s="19" t="n">
        <v>46275</v>
      </c>
      <c r="S44" s="20" t="n"/>
      <c r="T44" s="20" t="n"/>
      <c r="U44" s="20" t="n"/>
      <c r="V44" s="12" t="n"/>
      <c r="W44" s="12" t="n"/>
      <c r="X44" s="18">
        <f>IF($E44="","",IF(AND($B44&lt;&gt;"",ISNA(MATCH($B44,机构表,0))),"※机构不在【资料】里",IF(AND($D44&lt;&gt;"",ISNA(MATCH($D44,状态表,0))),"※状态不在【资料】里",IF(N($M44)&gt;N($L44),"※已还本金大于典当金额",IF(AND($I44&lt;&gt;"",$J44&lt;&gt;"",$J44&lt;$I44),"※到期日早于当票日期",IF(AND($H44&lt;&gt;"",COUNTIF($H$4:$H$403,$H44)&gt;1),"※当票号在本表里出现了不止一次",IF(AND($L44&lt;&gt;"",$E44=""),"※有金额没写客户","")))))))</f>
        <v/>
      </c>
    </row>
    <row r="45">
      <c r="A45" s="18">
        <f>IF($E45="","",COUNTA($E$4:$E45))</f>
        <v/>
      </c>
      <c r="B45" s="12" t="inlineStr">
        <is>
          <t>金辉典当</t>
        </is>
      </c>
      <c r="C45" s="12" t="inlineStr">
        <is>
          <t>房产</t>
        </is>
      </c>
      <c r="D45" s="12" t="inlineStr">
        <is>
          <t>起诉</t>
        </is>
      </c>
      <c r="E45" s="12" t="inlineStr">
        <is>
          <t>何松</t>
        </is>
      </c>
      <c r="F45" s="12" t="n"/>
      <c r="G45" s="12" t="n"/>
      <c r="H45" s="12" t="inlineStr">
        <is>
          <t>3519211804</t>
        </is>
      </c>
      <c r="I45" s="19" t="n">
        <v>45189</v>
      </c>
      <c r="J45" s="19" t="n"/>
      <c r="K45" s="19" t="n">
        <v>45250</v>
      </c>
      <c r="L45" s="20" t="n">
        <v>60000</v>
      </c>
      <c r="M45" s="20" t="n"/>
      <c r="N45" s="22">
        <f>IF($E45="","",ROUND(N($L45)-N($M45),2))</f>
        <v/>
      </c>
      <c r="O45" s="21" t="n">
        <v>0.025</v>
      </c>
      <c r="P45" s="20" t="n">
        <v>1500</v>
      </c>
      <c r="Q45" s="12" t="inlineStr">
        <is>
          <t>15</t>
        </is>
      </c>
      <c r="R45" s="19" t="n">
        <v>45703</v>
      </c>
      <c r="S45" s="20" t="n"/>
      <c r="T45" s="20" t="n"/>
      <c r="U45" s="20" t="n">
        <v>2500</v>
      </c>
      <c r="V45" s="12" t="inlineStr">
        <is>
          <t>先息</t>
        </is>
      </c>
      <c r="W45" s="12" t="n"/>
      <c r="X45" s="18">
        <f>IF($E45="","",IF(AND($B45&lt;&gt;"",ISNA(MATCH($B45,机构表,0))),"※机构不在【资料】里",IF(AND($D45&lt;&gt;"",ISNA(MATCH($D45,状态表,0))),"※状态不在【资料】里",IF(N($M45)&gt;N($L45),"※已还本金大于典当金额",IF(AND($I45&lt;&gt;"",$J45&lt;&gt;"",$J45&lt;$I45),"※到期日早于当票日期",IF(AND($H45&lt;&gt;"",COUNTIF($H$4:$H$403,$H45)&gt;1),"※当票号在本表里出现了不止一次",IF(AND($L45&lt;&gt;"",$E45=""),"※有金额没写客户","")))))))</f>
        <v/>
      </c>
    </row>
    <row r="46">
      <c r="A46" s="18">
        <f>IF($E46="","",COUNTA($E$4:$E46))</f>
        <v/>
      </c>
      <c r="B46" s="12" t="inlineStr">
        <is>
          <t>金辉典当</t>
        </is>
      </c>
      <c r="C46" s="12" t="inlineStr">
        <is>
          <t>动产</t>
        </is>
      </c>
      <c r="D46" s="12" t="inlineStr">
        <is>
          <t>虚当</t>
        </is>
      </c>
      <c r="E46" s="12" t="inlineStr">
        <is>
          <t>胡建通</t>
        </is>
      </c>
      <c r="F46" s="12" t="n"/>
      <c r="G46" s="12" t="n"/>
      <c r="H46" s="12" t="inlineStr">
        <is>
          <t>3519260503</t>
        </is>
      </c>
      <c r="I46" s="19" t="n">
        <v>45900</v>
      </c>
      <c r="J46" s="19" t="n">
        <v>45959</v>
      </c>
      <c r="K46" s="19" t="n"/>
      <c r="L46" s="20" t="n">
        <v>500000</v>
      </c>
      <c r="M46" s="20" t="n"/>
      <c r="N46" s="22">
        <f>IF($E46="","",ROUND(N($L46)-N($M46),2))</f>
        <v/>
      </c>
      <c r="O46" s="21" t="n"/>
      <c r="P46" s="20" t="n"/>
      <c r="Q46" s="12" t="n"/>
      <c r="R46" s="19" t="n">
        <v>45900</v>
      </c>
      <c r="S46" s="20" t="n"/>
      <c r="T46" s="20" t="n"/>
      <c r="U46" s="20" t="n"/>
      <c r="V46" s="12" t="n"/>
      <c r="W46" s="12" t="n"/>
      <c r="X46" s="18">
        <f>IF($E46="","",IF(AND($B46&lt;&gt;"",ISNA(MATCH($B46,机构表,0))),"※机构不在【资料】里",IF(AND($D46&lt;&gt;"",ISNA(MATCH($D46,状态表,0))),"※状态不在【资料】里",IF(N($M46)&gt;N($L46),"※已还本金大于典当金额",IF(AND($I46&lt;&gt;"",$J46&lt;&gt;"",$J46&lt;$I46),"※到期日早于当票日期",IF(AND($H46&lt;&gt;"",COUNTIF($H$4:$H$403,$H46)&gt;1),"※当票号在本表里出现了不止一次",IF(AND($L46&lt;&gt;"",$E46=""),"※有金额没写客户","")))))))</f>
        <v/>
      </c>
    </row>
    <row r="47">
      <c r="A47" s="18">
        <f>IF($E47="","",COUNTA($E$4:$E47))</f>
        <v/>
      </c>
      <c r="B47" s="12" t="inlineStr">
        <is>
          <t>金辉典当</t>
        </is>
      </c>
      <c r="C47" s="12" t="inlineStr">
        <is>
          <t>名品</t>
        </is>
      </c>
      <c r="D47" s="12" t="inlineStr">
        <is>
          <t>虚当</t>
        </is>
      </c>
      <c r="E47" s="12" t="inlineStr">
        <is>
          <t>胡建通</t>
        </is>
      </c>
      <c r="F47" s="12" t="n"/>
      <c r="G47" s="12" t="n"/>
      <c r="H47" s="12" t="inlineStr">
        <is>
          <t>3519260519</t>
        </is>
      </c>
      <c r="I47" s="19" t="n">
        <v>46097</v>
      </c>
      <c r="J47" s="19" t="n"/>
      <c r="K47" s="19" t="n"/>
      <c r="L47" s="20" t="n">
        <v>330000</v>
      </c>
      <c r="M47" s="20" t="n"/>
      <c r="N47" s="22">
        <f>IF($E47="","",ROUND(N($L47)-N($M47),2))</f>
        <v/>
      </c>
      <c r="O47" s="21" t="n">
        <v>0.0007</v>
      </c>
      <c r="P47" s="20" t="n">
        <v>231</v>
      </c>
      <c r="Q47" s="12" t="n"/>
      <c r="R47" s="19" t="n">
        <v>46097</v>
      </c>
      <c r="S47" s="20" t="n"/>
      <c r="T47" s="20" t="n"/>
      <c r="U47" s="20" t="n"/>
      <c r="V47" s="12" t="n"/>
      <c r="W47" s="12" t="n"/>
      <c r="X47" s="18">
        <f>IF($E47="","",IF(AND($B47&lt;&gt;"",ISNA(MATCH($B47,机构表,0))),"※机构不在【资料】里",IF(AND($D47&lt;&gt;"",ISNA(MATCH($D47,状态表,0))),"※状态不在【资料】里",IF(N($M47)&gt;N($L47),"※已还本金大于典当金额",IF(AND($I47&lt;&gt;"",$J47&lt;&gt;"",$J47&lt;$I47),"※到期日早于当票日期",IF(AND($H47&lt;&gt;"",COUNTIF($H$4:$H$403,$H47)&gt;1),"※当票号在本表里出现了不止一次",IF(AND($L47&lt;&gt;"",$E47=""),"※有金额没写客户","")))))))</f>
        <v/>
      </c>
    </row>
    <row r="48">
      <c r="A48" s="18">
        <f>IF($E48="","",COUNTA($E$4:$E48))</f>
        <v/>
      </c>
      <c r="B48" s="12" t="inlineStr">
        <is>
          <t>个人典当</t>
        </is>
      </c>
      <c r="C48" s="12" t="inlineStr">
        <is>
          <t>黄金</t>
        </is>
      </c>
      <c r="D48" s="12" t="inlineStr">
        <is>
          <t>在当</t>
        </is>
      </c>
      <c r="E48" s="12" t="inlineStr">
        <is>
          <t>黄发锦</t>
        </is>
      </c>
      <c r="F48" s="12" t="n"/>
      <c r="G48" s="12" t="n"/>
      <c r="H48" s="12" t="n"/>
      <c r="I48" s="19" t="n"/>
      <c r="J48" s="19" t="n">
        <v>45743</v>
      </c>
      <c r="K48" s="19" t="n">
        <v>45713</v>
      </c>
      <c r="L48" s="20" t="n">
        <v>27000</v>
      </c>
      <c r="M48" s="20" t="n"/>
      <c r="N48" s="22">
        <f>IF($E48="","",ROUND(N($L48)-N($M48),2))</f>
        <v/>
      </c>
      <c r="O48" s="21" t="n"/>
      <c r="P48" s="20" t="n">
        <v>675</v>
      </c>
      <c r="Q48" s="12" t="inlineStr">
        <is>
          <t>24</t>
        </is>
      </c>
      <c r="R48" s="19" t="n">
        <v>46289</v>
      </c>
      <c r="S48" s="20" t="n"/>
      <c r="T48" s="20" t="n"/>
      <c r="U48" s="20" t="n"/>
      <c r="V48" s="12" t="n"/>
      <c r="W48" s="12" t="n"/>
      <c r="X48" s="18">
        <f>IF($E48="","",IF(AND($B48&lt;&gt;"",ISNA(MATCH($B48,机构表,0))),"※机构不在【资料】里",IF(AND($D48&lt;&gt;"",ISNA(MATCH($D48,状态表,0))),"※状态不在【资料】里",IF(N($M48)&gt;N($L48),"※已还本金大于典当金额",IF(AND($I48&lt;&gt;"",$J48&lt;&gt;"",$J48&lt;$I48),"※到期日早于当票日期",IF(AND($H48&lt;&gt;"",COUNTIF($H$4:$H$403,$H48)&gt;1),"※当票号在本表里出现了不止一次",IF(AND($L48&lt;&gt;"",$E48=""),"※有金额没写客户","")))))))</f>
        <v/>
      </c>
    </row>
    <row r="49">
      <c r="A49" s="18">
        <f>IF($E49="","",COUNTA($E$4:$E49))</f>
        <v/>
      </c>
      <c r="B49" s="12" t="inlineStr">
        <is>
          <t>金辉典当</t>
        </is>
      </c>
      <c r="C49" s="12" t="inlineStr">
        <is>
          <t>房产</t>
        </is>
      </c>
      <c r="D49" s="12" t="inlineStr">
        <is>
          <t>在当</t>
        </is>
      </c>
      <c r="E49" s="12" t="inlineStr">
        <is>
          <t>黄飞</t>
        </is>
      </c>
      <c r="F49" s="12" t="n"/>
      <c r="G49" s="12" t="n"/>
      <c r="H49" s="12" t="inlineStr">
        <is>
          <t>3524019245</t>
        </is>
      </c>
      <c r="I49" s="19" t="n">
        <v>46261</v>
      </c>
      <c r="J49" s="19" t="n">
        <v>46350</v>
      </c>
      <c r="K49" s="19" t="n"/>
      <c r="L49" s="20" t="n">
        <v>120000</v>
      </c>
      <c r="M49" s="20" t="n"/>
      <c r="N49" s="22">
        <f>IF($E49="","",ROUND(N($L49)-N($M49),2))</f>
        <v/>
      </c>
      <c r="O49" s="21" t="n">
        <v>0.025</v>
      </c>
      <c r="P49" s="20" t="n">
        <v>3000</v>
      </c>
      <c r="Q49" s="12" t="inlineStr">
        <is>
          <t>26</t>
        </is>
      </c>
      <c r="R49" s="19" t="n">
        <v>46291</v>
      </c>
      <c r="S49" s="20" t="n"/>
      <c r="T49" s="20" t="n"/>
      <c r="U49" s="20" t="n"/>
      <c r="V49" s="12" t="n"/>
      <c r="W49" s="12" t="n"/>
      <c r="X49" s="18">
        <f>IF($E49="","",IF(AND($B49&lt;&gt;"",ISNA(MATCH($B49,机构表,0))),"※机构不在【资料】里",IF(AND($D49&lt;&gt;"",ISNA(MATCH($D49,状态表,0))),"※状态不在【资料】里",IF(N($M49)&gt;N($L49),"※已还本金大于典当金额",IF(AND($I49&lt;&gt;"",$J49&lt;&gt;"",$J49&lt;$I49),"※到期日早于当票日期",IF(AND($H49&lt;&gt;"",COUNTIF($H$4:$H$403,$H49)&gt;1),"※当票号在本表里出现了不止一次",IF(AND($L49&lt;&gt;"",$E49=""),"※有金额没写客户","")))))))</f>
        <v/>
      </c>
    </row>
    <row r="50">
      <c r="A50" s="18">
        <f>IF($E50="","",COUNTA($E$4:$E50))</f>
        <v/>
      </c>
      <c r="B50" s="12" t="inlineStr">
        <is>
          <t>个人典当</t>
        </is>
      </c>
      <c r="C50" s="12" t="inlineStr">
        <is>
          <t>玉佩</t>
        </is>
      </c>
      <c r="D50" s="12" t="inlineStr">
        <is>
          <t>在当</t>
        </is>
      </c>
      <c r="E50" s="12" t="inlineStr">
        <is>
          <t>黄军</t>
        </is>
      </c>
      <c r="F50" s="12" t="n"/>
      <c r="G50" s="12" t="n"/>
      <c r="H50" s="12" t="n"/>
      <c r="I50" s="19" t="n"/>
      <c r="J50" s="19" t="n"/>
      <c r="K50" s="19" t="n">
        <v>46263</v>
      </c>
      <c r="L50" s="20" t="n">
        <v>2000</v>
      </c>
      <c r="M50" s="20" t="n"/>
      <c r="N50" s="22">
        <f>IF($E50="","",ROUND(N($L50)-N($M50),2))</f>
        <v/>
      </c>
      <c r="O50" s="21" t="n"/>
      <c r="P50" s="20" t="n">
        <v>200</v>
      </c>
      <c r="Q50" s="12" t="inlineStr">
        <is>
          <t>27</t>
        </is>
      </c>
      <c r="R50" s="19" t="n">
        <v>46292</v>
      </c>
      <c r="S50" s="20" t="n"/>
      <c r="T50" s="20" t="n"/>
      <c r="U50" s="20" t="n"/>
      <c r="V50" s="12" t="n"/>
      <c r="W50" s="12" t="n"/>
      <c r="X50" s="18">
        <f>IF($E50="","",IF(AND($B50&lt;&gt;"",ISNA(MATCH($B50,机构表,0))),"※机构不在【资料】里",IF(AND($D50&lt;&gt;"",ISNA(MATCH($D50,状态表,0))),"※状态不在【资料】里",IF(N($M50)&gt;N($L50),"※已还本金大于典当金额",IF(AND($I50&lt;&gt;"",$J50&lt;&gt;"",$J50&lt;$I50),"※到期日早于当票日期",IF(AND($H50&lt;&gt;"",COUNTIF($H$4:$H$403,$H50)&gt;1),"※当票号在本表里出现了不止一次",IF(AND($L50&lt;&gt;"",$E50=""),"※有金额没写客户","")))))))</f>
        <v/>
      </c>
    </row>
    <row r="51">
      <c r="A51" s="18">
        <f>IF($E51="","",COUNTA($E$4:$E51))</f>
        <v/>
      </c>
      <c r="B51" s="12" t="inlineStr">
        <is>
          <t>金辉典当</t>
        </is>
      </c>
      <c r="C51" s="12" t="inlineStr">
        <is>
          <t>房产</t>
        </is>
      </c>
      <c r="D51" s="12" t="inlineStr">
        <is>
          <t>起诉</t>
        </is>
      </c>
      <c r="E51" s="12" t="inlineStr">
        <is>
          <t>黄平香</t>
        </is>
      </c>
      <c r="F51" s="12" t="n"/>
      <c r="G51" s="12" t="n"/>
      <c r="H51" s="12" t="inlineStr">
        <is>
          <t>3519211817</t>
        </is>
      </c>
      <c r="I51" s="19" t="n">
        <v>45254</v>
      </c>
      <c r="J51" s="19" t="n"/>
      <c r="K51" s="19" t="n">
        <v>45254</v>
      </c>
      <c r="L51" s="20" t="n">
        <v>90000</v>
      </c>
      <c r="M51" s="20" t="n"/>
      <c r="N51" s="22">
        <f>IF($E51="","",ROUND(N($L51)-N($M51),2))</f>
        <v/>
      </c>
      <c r="O51" s="21" t="n">
        <v>0.025</v>
      </c>
      <c r="P51" s="20" t="n">
        <v>2500</v>
      </c>
      <c r="Q51" s="12" t="inlineStr">
        <is>
          <t>18</t>
        </is>
      </c>
      <c r="R51" s="19" t="n">
        <v>45706</v>
      </c>
      <c r="S51" s="20" t="n"/>
      <c r="T51" s="20" t="n"/>
      <c r="U51" s="20" t="n">
        <v>2500</v>
      </c>
      <c r="V51" s="12" t="inlineStr">
        <is>
          <t>先息</t>
        </is>
      </c>
      <c r="W51" s="12" t="n"/>
      <c r="X51" s="18">
        <f>IF($E51="","",IF(AND($B51&lt;&gt;"",ISNA(MATCH($B51,机构表,0))),"※机构不在【资料】里",IF(AND($D51&lt;&gt;"",ISNA(MATCH($D51,状态表,0))),"※状态不在【资料】里",IF(N($M51)&gt;N($L51),"※已还本金大于典当金额",IF(AND($I51&lt;&gt;"",$J51&lt;&gt;"",$J51&lt;$I51),"※到期日早于当票日期",IF(AND($H51&lt;&gt;"",COUNTIF($H$4:$H$403,$H51)&gt;1),"※当票号在本表里出现了不止一次",IF(AND($L51&lt;&gt;"",$E51=""),"※有金额没写客户","")))))))</f>
        <v/>
      </c>
    </row>
    <row r="52">
      <c r="A52" s="18">
        <f>IF($E52="","",COUNTA($E$4:$E52))</f>
        <v/>
      </c>
      <c r="B52" s="12" t="inlineStr">
        <is>
          <t>金辉典当</t>
        </is>
      </c>
      <c r="C52" s="12" t="inlineStr">
        <is>
          <t>手表</t>
        </is>
      </c>
      <c r="D52" s="12" t="inlineStr">
        <is>
          <t>在当</t>
        </is>
      </c>
      <c r="E52" s="12" t="inlineStr">
        <is>
          <t>黄远枝</t>
        </is>
      </c>
      <c r="F52" s="12" t="n"/>
      <c r="G52" s="12" t="n"/>
      <c r="H52" s="12" t="inlineStr">
        <is>
          <t>3524019235</t>
        </is>
      </c>
      <c r="I52" s="19" t="n">
        <v>46195</v>
      </c>
      <c r="J52" s="19" t="n">
        <v>46374</v>
      </c>
      <c r="K52" s="19" t="n"/>
      <c r="L52" s="20" t="n">
        <v>60000</v>
      </c>
      <c r="M52" s="20" t="n"/>
      <c r="N52" s="22">
        <f>IF($E52="","",ROUND(N($L52)-N($M52),2))</f>
        <v/>
      </c>
      <c r="O52" s="21" t="n">
        <v>0.004</v>
      </c>
      <c r="P52" s="20" t="n">
        <v>1500</v>
      </c>
      <c r="Q52" s="12" t="inlineStr">
        <is>
          <t>21</t>
        </is>
      </c>
      <c r="R52" s="19" t="n">
        <v>46286</v>
      </c>
      <c r="S52" s="20" t="n">
        <v>240</v>
      </c>
      <c r="T52" s="20" t="n"/>
      <c r="U52" s="20" t="n"/>
      <c r="V52" s="12" t="n"/>
      <c r="W52" s="12" t="n"/>
      <c r="X52" s="18">
        <f>IF($E52="","",IF(AND($B52&lt;&gt;"",ISNA(MATCH($B52,机构表,0))),"※机构不在【资料】里",IF(AND($D52&lt;&gt;"",ISNA(MATCH($D52,状态表,0))),"※状态不在【资料】里",IF(N($M52)&gt;N($L52),"※已还本金大于典当金额",IF(AND($I52&lt;&gt;"",$J52&lt;&gt;"",$J52&lt;$I52),"※到期日早于当票日期",IF(AND($H52&lt;&gt;"",COUNTIF($H$4:$H$403,$H52)&gt;1),"※当票号在本表里出现了不止一次",IF(AND($L52&lt;&gt;"",$E52=""),"※有金额没写客户","")))))))</f>
        <v/>
      </c>
    </row>
    <row r="53">
      <c r="A53" s="18">
        <f>IF($E53="","",COUNTA($E$4:$E53))</f>
        <v/>
      </c>
      <c r="B53" s="12" t="inlineStr">
        <is>
          <t>个人典当</t>
        </is>
      </c>
      <c r="C53" s="12" t="inlineStr">
        <is>
          <t>黄金</t>
        </is>
      </c>
      <c r="D53" s="12" t="inlineStr">
        <is>
          <t>在当</t>
        </is>
      </c>
      <c r="E53" s="12" t="inlineStr">
        <is>
          <t>黄长燕</t>
        </is>
      </c>
      <c r="F53" s="12" t="n"/>
      <c r="G53" s="12" t="n"/>
      <c r="H53" s="12" t="n"/>
      <c r="I53" s="19" t="n"/>
      <c r="J53" s="19" t="n">
        <v>46088</v>
      </c>
      <c r="K53" s="19" t="n">
        <v>46060</v>
      </c>
      <c r="L53" s="20" t="n">
        <v>2200</v>
      </c>
      <c r="M53" s="20" t="n"/>
      <c r="N53" s="22">
        <f>IF($E53="","",ROUND(N($L53)-N($M53),2))</f>
        <v/>
      </c>
      <c r="O53" s="21" t="n"/>
      <c r="P53" s="20" t="n">
        <v>200</v>
      </c>
      <c r="Q53" s="12" t="inlineStr">
        <is>
          <t>6</t>
        </is>
      </c>
      <c r="R53" s="19" t="n">
        <v>46271</v>
      </c>
      <c r="S53" s="20" t="n"/>
      <c r="T53" s="20" t="n"/>
      <c r="U53" s="20" t="n"/>
      <c r="V53" s="12" t="n"/>
      <c r="W53" s="12" t="n"/>
      <c r="X53" s="18">
        <f>IF($E53="","",IF(AND($B53&lt;&gt;"",ISNA(MATCH($B53,机构表,0))),"※机构不在【资料】里",IF(AND($D53&lt;&gt;"",ISNA(MATCH($D53,状态表,0))),"※状态不在【资料】里",IF(N($M53)&gt;N($L53),"※已还本金大于典当金额",IF(AND($I53&lt;&gt;"",$J53&lt;&gt;"",$J53&lt;$I53),"※到期日早于当票日期",IF(AND($H53&lt;&gt;"",COUNTIF($H$4:$H$403,$H53)&gt;1),"※当票号在本表里出现了不止一次",IF(AND($L53&lt;&gt;"",$E53=""),"※有金额没写客户","")))))))</f>
        <v/>
      </c>
    </row>
    <row r="54">
      <c r="A54" s="18">
        <f>IF($E54="","",COUNTA($E$4:$E54))</f>
        <v/>
      </c>
      <c r="B54" s="12" t="inlineStr">
        <is>
          <t>个人典当</t>
        </is>
      </c>
      <c r="C54" s="12" t="inlineStr">
        <is>
          <t>黄金</t>
        </is>
      </c>
      <c r="D54" s="12" t="inlineStr">
        <is>
          <t>在当</t>
        </is>
      </c>
      <c r="E54" s="12" t="inlineStr">
        <is>
          <t>黄长燕</t>
        </is>
      </c>
      <c r="F54" s="12" t="n"/>
      <c r="G54" s="12" t="n"/>
      <c r="H54" s="12" t="n"/>
      <c r="I54" s="19" t="n"/>
      <c r="J54" s="19" t="n">
        <v>46117</v>
      </c>
      <c r="K54" s="19" t="n">
        <v>46087</v>
      </c>
      <c r="L54" s="20" t="n">
        <v>1000</v>
      </c>
      <c r="M54" s="20" t="n"/>
      <c r="N54" s="22">
        <f>IF($E54="","",ROUND(N($L54)-N($M54),2))</f>
        <v/>
      </c>
      <c r="O54" s="21" t="n"/>
      <c r="P54" s="20" t="n">
        <v>100</v>
      </c>
      <c r="Q54" s="12" t="inlineStr">
        <is>
          <t>6</t>
        </is>
      </c>
      <c r="R54" s="19" t="n">
        <v>46271</v>
      </c>
      <c r="S54" s="20" t="n"/>
      <c r="T54" s="20" t="n"/>
      <c r="U54" s="20" t="n"/>
      <c r="V54" s="12" t="n"/>
      <c r="W54" s="12" t="n"/>
      <c r="X54" s="18">
        <f>IF($E54="","",IF(AND($B54&lt;&gt;"",ISNA(MATCH($B54,机构表,0))),"※机构不在【资料】里",IF(AND($D54&lt;&gt;"",ISNA(MATCH($D54,状态表,0))),"※状态不在【资料】里",IF(N($M54)&gt;N($L54),"※已还本金大于典当金额",IF(AND($I54&lt;&gt;"",$J54&lt;&gt;"",$J54&lt;$I54),"※到期日早于当票日期",IF(AND($H54&lt;&gt;"",COUNTIF($H$4:$H$403,$H54)&gt;1),"※当票号在本表里出现了不止一次",IF(AND($L54&lt;&gt;"",$E54=""),"※有金额没写客户","")))))))</f>
        <v/>
      </c>
    </row>
    <row r="55">
      <c r="A55" s="18">
        <f>IF($E55="","",COUNTA($E$4:$E55))</f>
        <v/>
      </c>
      <c r="B55" s="12" t="inlineStr">
        <is>
          <t>个人典当</t>
        </is>
      </c>
      <c r="C55" s="12" t="inlineStr">
        <is>
          <t>黄金</t>
        </is>
      </c>
      <c r="D55" s="12" t="inlineStr">
        <is>
          <t>在当</t>
        </is>
      </c>
      <c r="E55" s="12" t="inlineStr">
        <is>
          <t>纪昌杰</t>
        </is>
      </c>
      <c r="F55" s="12" t="n"/>
      <c r="G55" s="12" t="n"/>
      <c r="H55" s="12" t="n"/>
      <c r="I55" s="19" t="n"/>
      <c r="J55" s="19" t="n"/>
      <c r="K55" s="19" t="n">
        <v>46262</v>
      </c>
      <c r="L55" s="20" t="n">
        <v>7500</v>
      </c>
      <c r="M55" s="20" t="n"/>
      <c r="N55" s="22">
        <f>IF($E55="","",ROUND(N($L55)-N($M55),2))</f>
        <v/>
      </c>
      <c r="O55" s="21" t="n"/>
      <c r="P55" s="20" t="n">
        <v>200</v>
      </c>
      <c r="Q55" s="12" t="inlineStr">
        <is>
          <t>26</t>
        </is>
      </c>
      <c r="R55" s="19" t="n">
        <v>46291</v>
      </c>
      <c r="S55" s="20" t="n"/>
      <c r="T55" s="20" t="n"/>
      <c r="U55" s="20" t="n"/>
      <c r="V55" s="12" t="n"/>
      <c r="W55" s="12" t="n"/>
      <c r="X55" s="18">
        <f>IF($E55="","",IF(AND($B55&lt;&gt;"",ISNA(MATCH($B55,机构表,0))),"※机构不在【资料】里",IF(AND($D55&lt;&gt;"",ISNA(MATCH($D55,状态表,0))),"※状态不在【资料】里",IF(N($M55)&gt;N($L55),"※已还本金大于典当金额",IF(AND($I55&lt;&gt;"",$J55&lt;&gt;"",$J55&lt;$I55),"※到期日早于当票日期",IF(AND($H55&lt;&gt;"",COUNTIF($H$4:$H$403,$H55)&gt;1),"※当票号在本表里出现了不止一次",IF(AND($L55&lt;&gt;"",$E55=""),"※有金额没写客户","")))))))</f>
        <v/>
      </c>
    </row>
    <row r="56">
      <c r="A56" s="18">
        <f>IF($E56="","",COUNTA($E$4:$E56))</f>
        <v/>
      </c>
      <c r="B56" s="12" t="inlineStr">
        <is>
          <t>个人典当</t>
        </is>
      </c>
      <c r="C56" s="12" t="inlineStr">
        <is>
          <t>私人借款</t>
        </is>
      </c>
      <c r="D56" s="12" t="inlineStr">
        <is>
          <t>无法回款</t>
        </is>
      </c>
      <c r="E56" s="12" t="inlineStr">
        <is>
          <t>纪文瑞</t>
        </is>
      </c>
      <c r="F56" s="12" t="n"/>
      <c r="G56" s="12" t="n"/>
      <c r="H56" s="12" t="n"/>
      <c r="I56" s="19" t="n"/>
      <c r="J56" s="19" t="n"/>
      <c r="K56" s="19" t="n">
        <v>44295</v>
      </c>
      <c r="L56" s="20" t="n">
        <v>60000</v>
      </c>
      <c r="M56" s="20" t="n"/>
      <c r="N56" s="22">
        <f>IF($E56="","",ROUND(N($L56)-N($M56),2))</f>
        <v/>
      </c>
      <c r="O56" s="21" t="n"/>
      <c r="P56" s="20" t="n"/>
      <c r="Q56" s="12" t="n"/>
      <c r="R56" s="19" t="n"/>
      <c r="S56" s="20" t="n"/>
      <c r="T56" s="20" t="n"/>
      <c r="U56" s="20" t="n"/>
      <c r="V56" s="12" t="n"/>
      <c r="W56" s="12" t="n"/>
      <c r="X56" s="18">
        <f>IF($E56="","",IF(AND($B56&lt;&gt;"",ISNA(MATCH($B56,机构表,0))),"※机构不在【资料】里",IF(AND($D56&lt;&gt;"",ISNA(MATCH($D56,状态表,0))),"※状态不在【资料】里",IF(N($M56)&gt;N($L56),"※已还本金大于典当金额",IF(AND($I56&lt;&gt;"",$J56&lt;&gt;"",$J56&lt;$I56),"※到期日早于当票日期",IF(AND($H56&lt;&gt;"",COUNTIF($H$4:$H$403,$H56)&gt;1),"※当票号在本表里出现了不止一次",IF(AND($L56&lt;&gt;"",$E56=""),"※有金额没写客户","")))))))</f>
        <v/>
      </c>
    </row>
    <row r="57">
      <c r="A57" s="18">
        <f>IF($E57="","",COUNTA($E$4:$E57))</f>
        <v/>
      </c>
      <c r="B57" s="12" t="inlineStr">
        <is>
          <t>个人典当</t>
        </is>
      </c>
      <c r="C57" s="12" t="inlineStr">
        <is>
          <t>黄金</t>
        </is>
      </c>
      <c r="D57" s="12" t="inlineStr">
        <is>
          <t>在当</t>
        </is>
      </c>
      <c r="E57" s="12" t="inlineStr">
        <is>
          <t>姜玉枝</t>
        </is>
      </c>
      <c r="F57" s="12" t="n"/>
      <c r="G57" s="12" t="n"/>
      <c r="H57" s="12" t="n"/>
      <c r="I57" s="19" t="n"/>
      <c r="J57" s="19" t="n"/>
      <c r="K57" s="19" t="n">
        <v>46174</v>
      </c>
      <c r="L57" s="20" t="n">
        <v>90000</v>
      </c>
      <c r="M57" s="20" t="n"/>
      <c r="N57" s="22">
        <f>IF($E57="","",ROUND(N($L57)-N($M57),2))</f>
        <v/>
      </c>
      <c r="O57" s="21" t="n"/>
      <c r="P57" s="20" t="n">
        <v>2250</v>
      </c>
      <c r="Q57" s="12" t="inlineStr">
        <is>
          <t>1</t>
        </is>
      </c>
      <c r="R57" s="19" t="n">
        <v>46266</v>
      </c>
      <c r="S57" s="20" t="n"/>
      <c r="T57" s="20" t="n"/>
      <c r="U57" s="20" t="n"/>
      <c r="V57" s="12" t="n"/>
      <c r="W57" s="12" t="n"/>
      <c r="X57" s="18">
        <f>IF($E57="","",IF(AND($B57&lt;&gt;"",ISNA(MATCH($B57,机构表,0))),"※机构不在【资料】里",IF(AND($D57&lt;&gt;"",ISNA(MATCH($D57,状态表,0))),"※状态不在【资料】里",IF(N($M57)&gt;N($L57),"※已还本金大于典当金额",IF(AND($I57&lt;&gt;"",$J57&lt;&gt;"",$J57&lt;$I57),"※到期日早于当票日期",IF(AND($H57&lt;&gt;"",COUNTIF($H$4:$H$403,$H57)&gt;1),"※当票号在本表里出现了不止一次",IF(AND($L57&lt;&gt;"",$E57=""),"※有金额没写客户","")))))))</f>
        <v/>
      </c>
    </row>
    <row r="58">
      <c r="A58" s="18">
        <f>IF($E58="","",COUNTA($E$4:$E58))</f>
        <v/>
      </c>
      <c r="B58" s="12" t="inlineStr">
        <is>
          <t>个人典当</t>
        </is>
      </c>
      <c r="C58" s="12" t="inlineStr">
        <is>
          <t>私人借款</t>
        </is>
      </c>
      <c r="D58" s="12" t="inlineStr">
        <is>
          <t>无法回款</t>
        </is>
      </c>
      <c r="E58" s="12" t="inlineStr">
        <is>
          <t>蒋淋淋</t>
        </is>
      </c>
      <c r="F58" s="12" t="n"/>
      <c r="G58" s="12" t="n"/>
      <c r="H58" s="12" t="n"/>
      <c r="I58" s="19" t="n"/>
      <c r="J58" s="19" t="n"/>
      <c r="K58" s="19" t="n">
        <v>44617</v>
      </c>
      <c r="L58" s="20" t="n">
        <v>34000</v>
      </c>
      <c r="M58" s="20" t="n"/>
      <c r="N58" s="22">
        <f>IF($E58="","",ROUND(N($L58)-N($M58),2))</f>
        <v/>
      </c>
      <c r="O58" s="21" t="n"/>
      <c r="P58" s="20" t="n"/>
      <c r="Q58" s="12" t="n"/>
      <c r="R58" s="19" t="n"/>
      <c r="S58" s="20" t="n"/>
      <c r="T58" s="20" t="n"/>
      <c r="U58" s="20" t="n"/>
      <c r="V58" s="12" t="n"/>
      <c r="W58" s="12" t="n"/>
      <c r="X58" s="18">
        <f>IF($E58="","",IF(AND($B58&lt;&gt;"",ISNA(MATCH($B58,机构表,0))),"※机构不在【资料】里",IF(AND($D58&lt;&gt;"",ISNA(MATCH($D58,状态表,0))),"※状态不在【资料】里",IF(N($M58)&gt;N($L58),"※已还本金大于典当金额",IF(AND($I58&lt;&gt;"",$J58&lt;&gt;"",$J58&lt;$I58),"※到期日早于当票日期",IF(AND($H58&lt;&gt;"",COUNTIF($H$4:$H$403,$H58)&gt;1),"※当票号在本表里出现了不止一次",IF(AND($L58&lt;&gt;"",$E58=""),"※有金额没写客户","")))))))</f>
        <v/>
      </c>
    </row>
    <row r="59">
      <c r="A59" s="18">
        <f>IF($E59="","",COUNTA($E$4:$E59))</f>
        <v/>
      </c>
      <c r="B59" s="12" t="inlineStr">
        <is>
          <t>金辉典当</t>
        </is>
      </c>
      <c r="C59" s="12" t="inlineStr">
        <is>
          <t>动产</t>
        </is>
      </c>
      <c r="D59" s="12" t="inlineStr">
        <is>
          <t>虚当</t>
        </is>
      </c>
      <c r="E59" s="12" t="inlineStr">
        <is>
          <t>柯志宏</t>
        </is>
      </c>
      <c r="F59" s="12" t="n"/>
      <c r="G59" s="12" t="n"/>
      <c r="H59" s="12" t="inlineStr">
        <is>
          <t>3519252757</t>
        </is>
      </c>
      <c r="I59" s="19" t="n">
        <v>45590</v>
      </c>
      <c r="J59" s="19" t="n">
        <v>45679</v>
      </c>
      <c r="K59" s="19" t="n"/>
      <c r="L59" s="20" t="n">
        <v>260000</v>
      </c>
      <c r="M59" s="20" t="n"/>
      <c r="N59" s="22">
        <f>IF($E59="","",ROUND(N($L59)-N($M59),2))</f>
        <v/>
      </c>
      <c r="O59" s="21" t="n">
        <v>0.008</v>
      </c>
      <c r="P59" s="20" t="n">
        <v>2080</v>
      </c>
      <c r="Q59" s="12" t="n"/>
      <c r="R59" s="19" t="n">
        <v>45677</v>
      </c>
      <c r="S59" s="20" t="n"/>
      <c r="T59" s="20" t="n"/>
      <c r="U59" s="20" t="n"/>
      <c r="V59" s="12" t="n"/>
      <c r="W59" s="12" t="n"/>
      <c r="X59" s="18">
        <f>IF($E59="","",IF(AND($B59&lt;&gt;"",ISNA(MATCH($B59,机构表,0))),"※机构不在【资料】里",IF(AND($D59&lt;&gt;"",ISNA(MATCH($D59,状态表,0))),"※状态不在【资料】里",IF(N($M59)&gt;N($L59),"※已还本金大于典当金额",IF(AND($I59&lt;&gt;"",$J59&lt;&gt;"",$J59&lt;$I59),"※到期日早于当票日期",IF(AND($H59&lt;&gt;"",COUNTIF($H$4:$H$403,$H59)&gt;1),"※当票号在本表里出现了不止一次",IF(AND($L59&lt;&gt;"",$E59=""),"※有金额没写客户","")))))))</f>
        <v/>
      </c>
    </row>
    <row r="60">
      <c r="A60" s="18">
        <f>IF($E60="","",COUNTA($E$4:$E60))</f>
        <v/>
      </c>
      <c r="B60" s="12" t="inlineStr">
        <is>
          <t>金辉典当</t>
        </is>
      </c>
      <c r="C60" s="12" t="inlineStr">
        <is>
          <t>名品</t>
        </is>
      </c>
      <c r="D60" s="12" t="inlineStr">
        <is>
          <t>虚当</t>
        </is>
      </c>
      <c r="E60" s="12" t="inlineStr">
        <is>
          <t>柯志宏</t>
        </is>
      </c>
      <c r="F60" s="12" t="n"/>
      <c r="G60" s="12" t="n"/>
      <c r="H60" s="12" t="n"/>
      <c r="I60" s="19" t="n">
        <v>46168</v>
      </c>
      <c r="J60" s="19" t="n">
        <v>46183</v>
      </c>
      <c r="K60" s="19" t="n"/>
      <c r="L60" s="20" t="n">
        <v>300000</v>
      </c>
      <c r="M60" s="20" t="n"/>
      <c r="N60" s="22">
        <f>IF($E60="","",ROUND(N($L60)-N($M60),2))</f>
        <v/>
      </c>
      <c r="O60" s="21" t="n">
        <v>0.004</v>
      </c>
      <c r="P60" s="20" t="n">
        <v>1200</v>
      </c>
      <c r="Q60" s="12" t="n"/>
      <c r="R60" s="19" t="n">
        <v>46168</v>
      </c>
      <c r="S60" s="20" t="n"/>
      <c r="T60" s="20" t="n"/>
      <c r="U60" s="20" t="n"/>
      <c r="V60" s="12" t="n"/>
      <c r="W60" s="12" t="n"/>
      <c r="X60" s="18">
        <f>IF($E60="","",IF(AND($B60&lt;&gt;"",ISNA(MATCH($B60,机构表,0))),"※机构不在【资料】里",IF(AND($D60&lt;&gt;"",ISNA(MATCH($D60,状态表,0))),"※状态不在【资料】里",IF(N($M60)&gt;N($L60),"※已还本金大于典当金额",IF(AND($I60&lt;&gt;"",$J60&lt;&gt;"",$J60&lt;$I60),"※到期日早于当票日期",IF(AND($H60&lt;&gt;"",COUNTIF($H$4:$H$403,$H60)&gt;1),"※当票号在本表里出现了不止一次",IF(AND($L60&lt;&gt;"",$E60=""),"※有金额没写客户","")))))))</f>
        <v/>
      </c>
    </row>
    <row r="61">
      <c r="A61" s="18">
        <f>IF($E61="","",COUNTA($E$4:$E61))</f>
        <v/>
      </c>
      <c r="B61" s="12" t="inlineStr">
        <is>
          <t>个人典当</t>
        </is>
      </c>
      <c r="C61" s="12" t="inlineStr">
        <is>
          <t>私人借款</t>
        </is>
      </c>
      <c r="D61" s="12" t="inlineStr">
        <is>
          <t>在当</t>
        </is>
      </c>
      <c r="E61" s="12" t="inlineStr">
        <is>
          <t>柯志宏</t>
        </is>
      </c>
      <c r="F61" s="12" t="n"/>
      <c r="G61" s="12" t="n"/>
      <c r="H61" s="12" t="n"/>
      <c r="I61" s="19" t="n"/>
      <c r="J61" s="19" t="n">
        <v>46270</v>
      </c>
      <c r="K61" s="19" t="n">
        <v>46086</v>
      </c>
      <c r="L61" s="20" t="n">
        <v>200000</v>
      </c>
      <c r="M61" s="20" t="n"/>
      <c r="N61" s="22">
        <f>IF($E61="","",ROUND(N($L61)-N($M61),2))</f>
        <v/>
      </c>
      <c r="O61" s="21" t="n"/>
      <c r="P61" s="20" t="n"/>
      <c r="Q61" s="12" t="inlineStr">
        <is>
          <t>5</t>
        </is>
      </c>
      <c r="R61" s="19" t="n">
        <v>46086</v>
      </c>
      <c r="S61" s="20" t="n"/>
      <c r="T61" s="20" t="n"/>
      <c r="U61" s="20" t="n"/>
      <c r="V61" s="12" t="n"/>
      <c r="W61" s="12" t="n"/>
      <c r="X61" s="18">
        <f>IF($E61="","",IF(AND($B61&lt;&gt;"",ISNA(MATCH($B61,机构表,0))),"※机构不在【资料】里",IF(AND($D61&lt;&gt;"",ISNA(MATCH($D61,状态表,0))),"※状态不在【资料】里",IF(N($M61)&gt;N($L61),"※已还本金大于典当金额",IF(AND($I61&lt;&gt;"",$J61&lt;&gt;"",$J61&lt;$I61),"※到期日早于当票日期",IF(AND($H61&lt;&gt;"",COUNTIF($H$4:$H$403,$H61)&gt;1),"※当票号在本表里出现了不止一次",IF(AND($L61&lt;&gt;"",$E61=""),"※有金额没写客户","")))))))</f>
        <v/>
      </c>
    </row>
    <row r="62">
      <c r="A62" s="18">
        <f>IF($E62="","",COUNTA($E$4:$E62))</f>
        <v/>
      </c>
      <c r="B62" s="12" t="inlineStr">
        <is>
          <t>个人典当</t>
        </is>
      </c>
      <c r="C62" s="12" t="inlineStr">
        <is>
          <t>私人借款</t>
        </is>
      </c>
      <c r="D62" s="12" t="inlineStr">
        <is>
          <t>在当</t>
        </is>
      </c>
      <c r="E62" s="12" t="inlineStr">
        <is>
          <t>柯志宏</t>
        </is>
      </c>
      <c r="F62" s="12" t="n"/>
      <c r="G62" s="12" t="n"/>
      <c r="H62" s="12" t="n"/>
      <c r="I62" s="19" t="n"/>
      <c r="J62" s="19" t="n">
        <v>46287</v>
      </c>
      <c r="K62" s="19" t="n">
        <v>46103</v>
      </c>
      <c r="L62" s="20" t="n">
        <v>100000</v>
      </c>
      <c r="M62" s="20" t="n"/>
      <c r="N62" s="22">
        <f>IF($E62="","",ROUND(N($L62)-N($M62),2))</f>
        <v/>
      </c>
      <c r="O62" s="21" t="n"/>
      <c r="P62" s="20" t="n"/>
      <c r="Q62" s="12" t="inlineStr">
        <is>
          <t>22</t>
        </is>
      </c>
      <c r="R62" s="19" t="n">
        <v>46103</v>
      </c>
      <c r="S62" s="20" t="n"/>
      <c r="T62" s="20" t="n"/>
      <c r="U62" s="20" t="n"/>
      <c r="V62" s="12" t="n"/>
      <c r="W62" s="12" t="n"/>
      <c r="X62" s="18">
        <f>IF($E62="","",IF(AND($B62&lt;&gt;"",ISNA(MATCH($B62,机构表,0))),"※机构不在【资料】里",IF(AND($D62&lt;&gt;"",ISNA(MATCH($D62,状态表,0))),"※状态不在【资料】里",IF(N($M62)&gt;N($L62),"※已还本金大于典当金额",IF(AND($I62&lt;&gt;"",$J62&lt;&gt;"",$J62&lt;$I62),"※到期日早于当票日期",IF(AND($H62&lt;&gt;"",COUNTIF($H$4:$H$403,$H62)&gt;1),"※当票号在本表里出现了不止一次",IF(AND($L62&lt;&gt;"",$E62=""),"※有金额没写客户","")))))))</f>
        <v/>
      </c>
    </row>
    <row r="63">
      <c r="A63" s="18">
        <f>IF($E63="","",COUNTA($E$4:$E63))</f>
        <v/>
      </c>
      <c r="B63" s="12" t="inlineStr">
        <is>
          <t>个人典当</t>
        </is>
      </c>
      <c r="C63" s="12" t="inlineStr">
        <is>
          <t>私人借款</t>
        </is>
      </c>
      <c r="D63" s="12" t="inlineStr">
        <is>
          <t>在当</t>
        </is>
      </c>
      <c r="E63" s="12" t="inlineStr">
        <is>
          <t>柯志宏</t>
        </is>
      </c>
      <c r="F63" s="12" t="n"/>
      <c r="G63" s="12" t="n"/>
      <c r="H63" s="12" t="n"/>
      <c r="I63" s="19" t="n"/>
      <c r="J63" s="19" t="n"/>
      <c r="K63" s="19" t="n">
        <v>46140</v>
      </c>
      <c r="L63" s="20" t="n">
        <v>500000</v>
      </c>
      <c r="M63" s="20" t="n"/>
      <c r="N63" s="22">
        <f>IF($E63="","",ROUND(N($L63)-N($M63),2))</f>
        <v/>
      </c>
      <c r="O63" s="21" t="n"/>
      <c r="P63" s="20" t="n"/>
      <c r="Q63" s="12" t="inlineStr">
        <is>
          <t>28</t>
        </is>
      </c>
      <c r="R63" s="19" t="n">
        <v>46140</v>
      </c>
      <c r="S63" s="20" t="n"/>
      <c r="T63" s="20" t="n"/>
      <c r="U63" s="20" t="n"/>
      <c r="V63" s="12" t="n"/>
      <c r="W63" s="12" t="n"/>
      <c r="X63" s="18">
        <f>IF($E63="","",IF(AND($B63&lt;&gt;"",ISNA(MATCH($B63,机构表,0))),"※机构不在【资料】里",IF(AND($D63&lt;&gt;"",ISNA(MATCH($D63,状态表,0))),"※状态不在【资料】里",IF(N($M63)&gt;N($L63),"※已还本金大于典当金额",IF(AND($I63&lt;&gt;"",$J63&lt;&gt;"",$J63&lt;$I63),"※到期日早于当票日期",IF(AND($H63&lt;&gt;"",COUNTIF($H$4:$H$403,$H63)&gt;1),"※当票号在本表里出现了不止一次",IF(AND($L63&lt;&gt;"",$E63=""),"※有金额没写客户","")))))))</f>
        <v/>
      </c>
    </row>
    <row r="64">
      <c r="A64" s="18">
        <f>IF($E64="","",COUNTA($E$4:$E64))</f>
        <v/>
      </c>
      <c r="B64" s="12" t="inlineStr">
        <is>
          <t>个人典当</t>
        </is>
      </c>
      <c r="C64" s="12" t="inlineStr">
        <is>
          <t>解押/过桥</t>
        </is>
      </c>
      <c r="D64" s="12" t="inlineStr">
        <is>
          <t>在当</t>
        </is>
      </c>
      <c r="E64" s="12" t="inlineStr">
        <is>
          <t>柯志宏</t>
        </is>
      </c>
      <c r="F64" s="12" t="n"/>
      <c r="G64" s="12" t="n"/>
      <c r="H64" s="12" t="n"/>
      <c r="I64" s="19" t="n"/>
      <c r="J64" s="19" t="n">
        <v>46267</v>
      </c>
      <c r="K64" s="19" t="n">
        <v>46258</v>
      </c>
      <c r="L64" s="20" t="n">
        <v>400000</v>
      </c>
      <c r="M64" s="20" t="n"/>
      <c r="N64" s="22">
        <f>IF($E64="","",ROUND(N($L64)-N($M64),2))</f>
        <v/>
      </c>
      <c r="O64" s="21" t="n"/>
      <c r="P64" s="20" t="n"/>
      <c r="Q64" s="12" t="inlineStr">
        <is>
          <t>24</t>
        </is>
      </c>
      <c r="R64" s="19" t="n">
        <v>46258</v>
      </c>
      <c r="S64" s="20" t="n"/>
      <c r="T64" s="20" t="n"/>
      <c r="U64" s="20" t="n"/>
      <c r="V64" s="12" t="n"/>
      <c r="W64" s="12" t="n"/>
      <c r="X64" s="18">
        <f>IF($E64="","",IF(AND($B64&lt;&gt;"",ISNA(MATCH($B64,机构表,0))),"※机构不在【资料】里",IF(AND($D64&lt;&gt;"",ISNA(MATCH($D64,状态表,0))),"※状态不在【资料】里",IF(N($M64)&gt;N($L64),"※已还本金大于典当金额",IF(AND($I64&lt;&gt;"",$J64&lt;&gt;"",$J64&lt;$I64),"※到期日早于当票日期",IF(AND($H64&lt;&gt;"",COUNTIF($H$4:$H$403,$H64)&gt;1),"※当票号在本表里出现了不止一次",IF(AND($L64&lt;&gt;"",$E64=""),"※有金额没写客户","")))))))</f>
        <v/>
      </c>
    </row>
    <row r="65">
      <c r="A65" s="18">
        <f>IF($E65="","",COUNTA($E$4:$E65))</f>
        <v/>
      </c>
      <c r="B65" s="12" t="inlineStr">
        <is>
          <t>个人典当</t>
        </is>
      </c>
      <c r="C65" s="12" t="inlineStr">
        <is>
          <t>黄金</t>
        </is>
      </c>
      <c r="D65" s="12" t="inlineStr">
        <is>
          <t>在当</t>
        </is>
      </c>
      <c r="E65" s="12" t="inlineStr">
        <is>
          <t>柯重文</t>
        </is>
      </c>
      <c r="F65" s="12" t="n"/>
      <c r="G65" s="12" t="n"/>
      <c r="H65" s="12" t="n"/>
      <c r="I65" s="19" t="n"/>
      <c r="J65" s="19" t="n">
        <v>46059</v>
      </c>
      <c r="K65" s="19" t="n">
        <v>46030</v>
      </c>
      <c r="L65" s="20" t="n">
        <v>8000</v>
      </c>
      <c r="M65" s="20" t="n"/>
      <c r="N65" s="22">
        <f>IF($E65="","",ROUND(N($L65)-N($M65),2))</f>
        <v/>
      </c>
      <c r="O65" s="21" t="n"/>
      <c r="P65" s="20" t="n">
        <v>200</v>
      </c>
      <c r="Q65" s="12" t="inlineStr">
        <is>
          <t>7</t>
        </is>
      </c>
      <c r="R65" s="19" t="n">
        <v>46272</v>
      </c>
      <c r="S65" s="20" t="n"/>
      <c r="T65" s="20" t="n"/>
      <c r="U65" s="20" t="n"/>
      <c r="V65" s="12" t="n"/>
      <c r="W65" s="12" t="n"/>
      <c r="X65" s="18">
        <f>IF($E65="","",IF(AND($B65&lt;&gt;"",ISNA(MATCH($B65,机构表,0))),"※机构不在【资料】里",IF(AND($D65&lt;&gt;"",ISNA(MATCH($D65,状态表,0))),"※状态不在【资料】里",IF(N($M65)&gt;N($L65),"※已还本金大于典当金额",IF(AND($I65&lt;&gt;"",$J65&lt;&gt;"",$J65&lt;$I65),"※到期日早于当票日期",IF(AND($H65&lt;&gt;"",COUNTIF($H$4:$H$403,$H65)&gt;1),"※当票号在本表里出现了不止一次",IF(AND($L65&lt;&gt;"",$E65=""),"※有金额没写客户","")))))))</f>
        <v/>
      </c>
    </row>
    <row r="66">
      <c r="A66" s="18">
        <f>IF($E66="","",COUNTA($E$4:$E66))</f>
        <v/>
      </c>
      <c r="B66" s="12" t="inlineStr">
        <is>
          <t>个人典当</t>
        </is>
      </c>
      <c r="C66" s="12" t="inlineStr">
        <is>
          <t>黄金</t>
        </is>
      </c>
      <c r="D66" s="12" t="inlineStr">
        <is>
          <t>结款（个人）</t>
        </is>
      </c>
      <c r="E66" s="12" t="inlineStr">
        <is>
          <t>李北茉</t>
        </is>
      </c>
      <c r="F66" s="12" t="n"/>
      <c r="G66" s="12" t="n"/>
      <c r="H66" s="12" t="n"/>
      <c r="I66" s="19" t="n"/>
      <c r="J66" s="19" t="n"/>
      <c r="K66" s="19" t="n">
        <v>46184</v>
      </c>
      <c r="L66" s="20" t="n">
        <v>0</v>
      </c>
      <c r="M66" s="20" t="n"/>
      <c r="N66" s="22">
        <f>IF($E66="","",ROUND(N($L66)-N($M66),2))</f>
        <v/>
      </c>
      <c r="O66" s="21" t="n"/>
      <c r="P66" s="20" t="n">
        <v>700</v>
      </c>
      <c r="Q66" s="12" t="n"/>
      <c r="R66" s="19" t="n">
        <v>46275</v>
      </c>
      <c r="S66" s="20" t="n"/>
      <c r="T66" s="20" t="n"/>
      <c r="U66" s="20" t="n"/>
      <c r="V66" s="12" t="n"/>
      <c r="W66" s="12" t="n"/>
      <c r="X66" s="18">
        <f>IF($E66="","",IF(AND($B66&lt;&gt;"",ISNA(MATCH($B66,机构表,0))),"※机构不在【资料】里",IF(AND($D66&lt;&gt;"",ISNA(MATCH($D66,状态表,0))),"※状态不在【资料】里",IF(N($M66)&gt;N($L66),"※已还本金大于典当金额",IF(AND($I66&lt;&gt;"",$J66&lt;&gt;"",$J66&lt;$I66),"※到期日早于当票日期",IF(AND($H66&lt;&gt;"",COUNTIF($H$4:$H$403,$H66)&gt;1),"※当票号在本表里出现了不止一次",IF(AND($L66&lt;&gt;"",$E66=""),"※有金额没写客户","")))))))</f>
        <v/>
      </c>
    </row>
    <row r="67">
      <c r="A67" s="18">
        <f>IF($E67="","",COUNTA($E$4:$E67))</f>
        <v/>
      </c>
      <c r="B67" s="12" t="inlineStr">
        <is>
          <t>金辉典当</t>
        </is>
      </c>
      <c r="C67" s="12" t="inlineStr">
        <is>
          <t>房产</t>
        </is>
      </c>
      <c r="D67" s="12" t="inlineStr">
        <is>
          <t>起诉</t>
        </is>
      </c>
      <c r="E67" s="12" t="inlineStr">
        <is>
          <t>李佳敏</t>
        </is>
      </c>
      <c r="F67" s="12" t="n"/>
      <c r="G67" s="12" t="n"/>
      <c r="H67" s="12" t="inlineStr">
        <is>
          <t>3519121393</t>
        </is>
      </c>
      <c r="I67" s="19" t="n">
        <v>44326</v>
      </c>
      <c r="J67" s="19" t="n"/>
      <c r="K67" s="19" t="n">
        <v>45240</v>
      </c>
      <c r="L67" s="20" t="n">
        <v>150000</v>
      </c>
      <c r="M67" s="20" t="n"/>
      <c r="N67" s="22">
        <f>IF($E67="","",ROUND(N($L67)-N($M67),2))</f>
        <v/>
      </c>
      <c r="O67" s="21" t="n">
        <v>0.025</v>
      </c>
      <c r="P67" s="20" t="n">
        <v>3750</v>
      </c>
      <c r="Q67" s="12" t="inlineStr">
        <is>
          <t>10</t>
        </is>
      </c>
      <c r="R67" s="19" t="n">
        <v>45332</v>
      </c>
      <c r="S67" s="20" t="n"/>
      <c r="T67" s="20" t="n"/>
      <c r="U67" s="20" t="n">
        <v>3750</v>
      </c>
      <c r="V67" s="12" t="inlineStr">
        <is>
          <t>先息</t>
        </is>
      </c>
      <c r="W67" s="12" t="n"/>
      <c r="X67" s="18">
        <f>IF($E67="","",IF(AND($B67&lt;&gt;"",ISNA(MATCH($B67,机构表,0))),"※机构不在【资料】里",IF(AND($D67&lt;&gt;"",ISNA(MATCH($D67,状态表,0))),"※状态不在【资料】里",IF(N($M67)&gt;N($L67),"※已还本金大于典当金额",IF(AND($I67&lt;&gt;"",$J67&lt;&gt;"",$J67&lt;$I67),"※到期日早于当票日期",IF(AND($H67&lt;&gt;"",COUNTIF($H$4:$H$403,$H67)&gt;1),"※当票号在本表里出现了不止一次",IF(AND($L67&lt;&gt;"",$E67=""),"※有金额没写客户","")))))))</f>
        <v/>
      </c>
    </row>
    <row r="68">
      <c r="A68" s="18">
        <f>IF($E68="","",COUNTA($E$4:$E68))</f>
        <v/>
      </c>
      <c r="B68" s="12" t="inlineStr">
        <is>
          <t>个人典当</t>
        </is>
      </c>
      <c r="C68" s="12" t="inlineStr">
        <is>
          <t>车子</t>
        </is>
      </c>
      <c r="D68" s="12" t="inlineStr">
        <is>
          <t>在当</t>
        </is>
      </c>
      <c r="E68" s="12" t="inlineStr">
        <is>
          <t>李元</t>
        </is>
      </c>
      <c r="F68" s="12" t="n"/>
      <c r="G68" s="12" t="n"/>
      <c r="H68" s="12" t="n"/>
      <c r="I68" s="19" t="n"/>
      <c r="J68" s="19" t="n">
        <v>46147</v>
      </c>
      <c r="K68" s="19" t="n">
        <v>46029</v>
      </c>
      <c r="L68" s="20" t="n">
        <v>15000</v>
      </c>
      <c r="M68" s="20" t="n"/>
      <c r="N68" s="22">
        <f>IF($E68="","",ROUND(N($L68)-N($M68),2))</f>
        <v/>
      </c>
      <c r="O68" s="21" t="n"/>
      <c r="P68" s="20" t="n">
        <v>875</v>
      </c>
      <c r="Q68" s="12" t="inlineStr">
        <is>
          <t>6</t>
        </is>
      </c>
      <c r="R68" s="19" t="n">
        <v>46271</v>
      </c>
      <c r="S68" s="20" t="n"/>
      <c r="T68" s="20" t="n"/>
      <c r="U68" s="20" t="n"/>
      <c r="V68" s="12" t="n"/>
      <c r="W68" s="12" t="n"/>
      <c r="X68" s="18">
        <f>IF($E68="","",IF(AND($B68&lt;&gt;"",ISNA(MATCH($B68,机构表,0))),"※机构不在【资料】里",IF(AND($D68&lt;&gt;"",ISNA(MATCH($D68,状态表,0))),"※状态不在【资料】里",IF(N($M68)&gt;N($L68),"※已还本金大于典当金额",IF(AND($I68&lt;&gt;"",$J68&lt;&gt;"",$J68&lt;$I68),"※到期日早于当票日期",IF(AND($H68&lt;&gt;"",COUNTIF($H$4:$H$403,$H68)&gt;1),"※当票号在本表里出现了不止一次",IF(AND($L68&lt;&gt;"",$E68=""),"※有金额没写客户","")))))))</f>
        <v/>
      </c>
    </row>
    <row r="69">
      <c r="A69" s="18">
        <f>IF($E69="","",COUNTA($E$4:$E69))</f>
        <v/>
      </c>
      <c r="B69" s="12" t="inlineStr">
        <is>
          <t>个人典当</t>
        </is>
      </c>
      <c r="C69" s="12" t="inlineStr">
        <is>
          <t>车子</t>
        </is>
      </c>
      <c r="D69" s="12" t="inlineStr">
        <is>
          <t>结款（个人）</t>
        </is>
      </c>
      <c r="E69" s="12" t="inlineStr">
        <is>
          <t>李忠浩</t>
        </is>
      </c>
      <c r="F69" s="12" t="n"/>
      <c r="G69" s="12" t="n"/>
      <c r="H69" s="12" t="n"/>
      <c r="I69" s="19" t="n"/>
      <c r="J69" s="19" t="n"/>
      <c r="K69" s="19" t="n">
        <v>46136</v>
      </c>
      <c r="L69" s="20" t="n">
        <v>15000</v>
      </c>
      <c r="M69" s="20" t="n"/>
      <c r="N69" s="22">
        <f>IF($E69="","",ROUND(N($L69)-N($M69),2))</f>
        <v/>
      </c>
      <c r="O69" s="21" t="n"/>
      <c r="P69" s="20" t="n">
        <v>900</v>
      </c>
      <c r="Q69" s="12" t="n"/>
      <c r="R69" s="19" t="n">
        <v>46226</v>
      </c>
      <c r="S69" s="20" t="n"/>
      <c r="T69" s="20" t="n"/>
      <c r="U69" s="20" t="n"/>
      <c r="V69" s="12" t="n"/>
      <c r="W69" s="12" t="inlineStr">
        <is>
          <t>车子已售卖，售价1.6万，回款在林总建行</t>
        </is>
      </c>
      <c r="X69" s="18">
        <f>IF($E69="","",IF(AND($B69&lt;&gt;"",ISNA(MATCH($B69,机构表,0))),"※机构不在【资料】里",IF(AND($D69&lt;&gt;"",ISNA(MATCH($D69,状态表,0))),"※状态不在【资料】里",IF(N($M69)&gt;N($L69),"※已还本金大于典当金额",IF(AND($I69&lt;&gt;"",$J69&lt;&gt;"",$J69&lt;$I69),"※到期日早于当票日期",IF(AND($H69&lt;&gt;"",COUNTIF($H$4:$H$403,$H69)&gt;1),"※当票号在本表里出现了不止一次",IF(AND($L69&lt;&gt;"",$E69=""),"※有金额没写客户","")))))))</f>
        <v/>
      </c>
    </row>
    <row r="70">
      <c r="A70" s="18">
        <f>IF($E70="","",COUNTA($E$4:$E70))</f>
        <v/>
      </c>
      <c r="B70" s="12" t="inlineStr">
        <is>
          <t>金辉典当</t>
        </is>
      </c>
      <c r="C70" s="12" t="inlineStr">
        <is>
          <t>黄金</t>
        </is>
      </c>
      <c r="D70" s="12" t="inlineStr">
        <is>
          <t>在当</t>
        </is>
      </c>
      <c r="E70" s="12" t="inlineStr">
        <is>
          <t>廖浴波</t>
        </is>
      </c>
      <c r="F70" s="12" t="n"/>
      <c r="G70" s="12" t="n"/>
      <c r="H70" s="12" t="inlineStr">
        <is>
          <t>3519260520</t>
        </is>
      </c>
      <c r="I70" s="19" t="n">
        <v>46099</v>
      </c>
      <c r="J70" s="19" t="n">
        <v>46278</v>
      </c>
      <c r="K70" s="19" t="n"/>
      <c r="L70" s="20" t="n">
        <v>35000</v>
      </c>
      <c r="M70" s="20" t="n"/>
      <c r="N70" s="22">
        <f>IF($E70="","",ROUND(N($L70)-N($M70),2))</f>
        <v/>
      </c>
      <c r="O70" s="21" t="n">
        <v>0.003</v>
      </c>
      <c r="P70" s="20" t="n">
        <v>800</v>
      </c>
      <c r="Q70" s="12" t="inlineStr">
        <is>
          <t>17</t>
        </is>
      </c>
      <c r="R70" s="19" t="n">
        <v>46282</v>
      </c>
      <c r="S70" s="20" t="n">
        <v>105</v>
      </c>
      <c r="T70" s="20" t="n"/>
      <c r="U70" s="20" t="n"/>
      <c r="V70" s="12" t="n"/>
      <c r="W70" s="12" t="n"/>
      <c r="X70" s="18">
        <f>IF($E70="","",IF(AND($B70&lt;&gt;"",ISNA(MATCH($B70,机构表,0))),"※机构不在【资料】里",IF(AND($D70&lt;&gt;"",ISNA(MATCH($D70,状态表,0))),"※状态不在【资料】里",IF(N($M70)&gt;N($L70),"※已还本金大于典当金额",IF(AND($I70&lt;&gt;"",$J70&lt;&gt;"",$J70&lt;$I70),"※到期日早于当票日期",IF(AND($H70&lt;&gt;"",COUNTIF($H$4:$H$403,$H70)&gt;1),"※当票号在本表里出现了不止一次",IF(AND($L70&lt;&gt;"",$E70=""),"※有金额没写客户","")))))))</f>
        <v/>
      </c>
    </row>
    <row r="71">
      <c r="A71" s="18">
        <f>IF($E71="","",COUNTA($E$4:$E71))</f>
        <v/>
      </c>
      <c r="B71" s="12" t="inlineStr">
        <is>
          <t>个人典当</t>
        </is>
      </c>
      <c r="C71" s="12" t="inlineStr">
        <is>
          <t>黄金+手表</t>
        </is>
      </c>
      <c r="D71" s="12" t="inlineStr">
        <is>
          <t>在当</t>
        </is>
      </c>
      <c r="E71" s="12" t="inlineStr">
        <is>
          <t>林斌</t>
        </is>
      </c>
      <c r="F71" s="12" t="n"/>
      <c r="G71" s="12" t="n"/>
      <c r="H71" s="12" t="n"/>
      <c r="I71" s="19" t="n"/>
      <c r="J71" s="19" t="n">
        <v>46049</v>
      </c>
      <c r="K71" s="19" t="n">
        <v>46020</v>
      </c>
      <c r="L71" s="20" t="n">
        <v>80000</v>
      </c>
      <c r="M71" s="20" t="n"/>
      <c r="N71" s="22">
        <f>IF($E71="","",ROUND(N($L71)-N($M71),2))</f>
        <v/>
      </c>
      <c r="O71" s="21" t="n"/>
      <c r="P71" s="20" t="n">
        <v>1900</v>
      </c>
      <c r="Q71" s="12" t="inlineStr">
        <is>
          <t>28</t>
        </is>
      </c>
      <c r="R71" s="19" t="n">
        <v>46293</v>
      </c>
      <c r="S71" s="20" t="n"/>
      <c r="T71" s="20" t="n"/>
      <c r="U71" s="20" t="n"/>
      <c r="V71" s="12" t="n"/>
      <c r="W71" s="12" t="n"/>
      <c r="X71" s="18">
        <f>IF($E71="","",IF(AND($B71&lt;&gt;"",ISNA(MATCH($B71,机构表,0))),"※机构不在【资料】里",IF(AND($D71&lt;&gt;"",ISNA(MATCH($D71,状态表,0))),"※状态不在【资料】里",IF(N($M71)&gt;N($L71),"※已还本金大于典当金额",IF(AND($I71&lt;&gt;"",$J71&lt;&gt;"",$J71&lt;$I71),"※到期日早于当票日期",IF(AND($H71&lt;&gt;"",COUNTIF($H$4:$H$403,$H71)&gt;1),"※当票号在本表里出现了不止一次",IF(AND($L71&lt;&gt;"",$E71=""),"※有金额没写客户","")))))))</f>
        <v/>
      </c>
    </row>
    <row r="72">
      <c r="A72" s="18">
        <f>IF($E72="","",COUNTA($E$4:$E72))</f>
        <v/>
      </c>
      <c r="B72" s="12" t="inlineStr">
        <is>
          <t>金辉典当</t>
        </is>
      </c>
      <c r="C72" s="12" t="inlineStr">
        <is>
          <t>房产</t>
        </is>
      </c>
      <c r="D72" s="12" t="inlineStr">
        <is>
          <t>在当</t>
        </is>
      </c>
      <c r="E72" s="12" t="inlineStr">
        <is>
          <t>林昌耿</t>
        </is>
      </c>
      <c r="F72" s="12" t="n"/>
      <c r="G72" s="12" t="n"/>
      <c r="H72" s="12" t="inlineStr">
        <is>
          <t>3519260506</t>
        </is>
      </c>
      <c r="I72" s="19" t="n">
        <v>45953</v>
      </c>
      <c r="J72" s="19" t="n">
        <v>46132</v>
      </c>
      <c r="K72" s="19" t="n"/>
      <c r="L72" s="20" t="n">
        <v>200000</v>
      </c>
      <c r="M72" s="20" t="n"/>
      <c r="N72" s="22">
        <f>IF($E72="","",ROUND(N($L72)-N($M72),2))</f>
        <v/>
      </c>
      <c r="O72" s="21" t="n">
        <v>0.018</v>
      </c>
      <c r="P72" s="20" t="n">
        <v>3300</v>
      </c>
      <c r="Q72" s="12" t="inlineStr">
        <is>
          <t>23</t>
        </is>
      </c>
      <c r="R72" s="19" t="n">
        <v>46135</v>
      </c>
      <c r="S72" s="20" t="n"/>
      <c r="T72" s="20" t="n"/>
      <c r="U72" s="20" t="n"/>
      <c r="V72" s="12" t="inlineStr">
        <is>
          <t>先息</t>
        </is>
      </c>
      <c r="W72" s="12" t="n"/>
      <c r="X72" s="18">
        <f>IF($E72="","",IF(AND($B72&lt;&gt;"",ISNA(MATCH($B72,机构表,0))),"※机构不在【资料】里",IF(AND($D72&lt;&gt;"",ISNA(MATCH($D72,状态表,0))),"※状态不在【资料】里",IF(N($M72)&gt;N($L72),"※已还本金大于典当金额",IF(AND($I72&lt;&gt;"",$J72&lt;&gt;"",$J72&lt;$I72),"※到期日早于当票日期",IF(AND($H72&lt;&gt;"",COUNTIF($H$4:$H$403,$H72)&gt;1),"※当票号在本表里出现了不止一次",IF(AND($L72&lt;&gt;"",$E72=""),"※有金额没写客户","")))))))</f>
        <v/>
      </c>
    </row>
    <row r="73">
      <c r="A73" s="18">
        <f>IF($E73="","",COUNTA($E$4:$E73))</f>
        <v/>
      </c>
      <c r="B73" s="12" t="inlineStr">
        <is>
          <t>金辉典当</t>
        </is>
      </c>
      <c r="C73" s="12" t="inlineStr">
        <is>
          <t>房产</t>
        </is>
      </c>
      <c r="D73" s="12" t="inlineStr">
        <is>
          <t>在当</t>
        </is>
      </c>
      <c r="E73" s="12" t="inlineStr">
        <is>
          <t>林昌耿</t>
        </is>
      </c>
      <c r="F73" s="12" t="n"/>
      <c r="G73" s="12" t="n"/>
      <c r="H73" s="12" t="inlineStr">
        <is>
          <t>3524019239</t>
        </is>
      </c>
      <c r="I73" s="19" t="n">
        <v>46223</v>
      </c>
      <c r="J73" s="19" t="n">
        <v>46402</v>
      </c>
      <c r="K73" s="19" t="n"/>
      <c r="L73" s="20" t="n">
        <v>200000</v>
      </c>
      <c r="M73" s="20" t="n"/>
      <c r="N73" s="22">
        <f>IF($E73="","",ROUND(N($L73)-N($M73),2))</f>
        <v/>
      </c>
      <c r="O73" s="21" t="n">
        <v>0.025</v>
      </c>
      <c r="P73" s="20" t="n">
        <v>5000</v>
      </c>
      <c r="Q73" s="12" t="inlineStr">
        <is>
          <t>20</t>
        </is>
      </c>
      <c r="R73" s="19" t="n">
        <v>46223</v>
      </c>
      <c r="S73" s="20" t="n"/>
      <c r="T73" s="20" t="n"/>
      <c r="U73" s="20" t="n"/>
      <c r="V73" s="12" t="n"/>
      <c r="W73" s="12" t="n"/>
      <c r="X73" s="18">
        <f>IF($E73="","",IF(AND($B73&lt;&gt;"",ISNA(MATCH($B73,机构表,0))),"※机构不在【资料】里",IF(AND($D73&lt;&gt;"",ISNA(MATCH($D73,状态表,0))),"※状态不在【资料】里",IF(N($M73)&gt;N($L73),"※已还本金大于典当金额",IF(AND($I73&lt;&gt;"",$J73&lt;&gt;"",$J73&lt;$I73),"※到期日早于当票日期",IF(AND($H73&lt;&gt;"",COUNTIF($H$4:$H$403,$H73)&gt;1),"※当票号在本表里出现了不止一次",IF(AND($L73&lt;&gt;"",$E73=""),"※有金额没写客户","")))))))</f>
        <v/>
      </c>
    </row>
    <row r="74">
      <c r="A74" s="18">
        <f>IF($E74="","",COUNTA($E$4:$E74))</f>
        <v/>
      </c>
      <c r="B74" s="12" t="inlineStr">
        <is>
          <t>个人典当</t>
        </is>
      </c>
      <c r="C74" s="12" t="inlineStr">
        <is>
          <t>私人借款</t>
        </is>
      </c>
      <c r="D74" s="12" t="inlineStr">
        <is>
          <t>在当</t>
        </is>
      </c>
      <c r="E74" s="12" t="inlineStr">
        <is>
          <t>林昌耿</t>
        </is>
      </c>
      <c r="F74" s="12" t="n"/>
      <c r="G74" s="12" t="n"/>
      <c r="H74" s="12" t="n"/>
      <c r="I74" s="19" t="n"/>
      <c r="J74" s="19" t="n">
        <v>46007</v>
      </c>
      <c r="K74" s="19" t="n">
        <v>45978</v>
      </c>
      <c r="L74" s="20" t="n">
        <v>200000</v>
      </c>
      <c r="M74" s="20" t="n"/>
      <c r="N74" s="22">
        <f>IF($E74="","",ROUND(N($L74)-N($M74),2))</f>
        <v/>
      </c>
      <c r="O74" s="21" t="n"/>
      <c r="P74" s="20" t="n">
        <v>4000</v>
      </c>
      <c r="Q74" s="12" t="inlineStr">
        <is>
          <t>16</t>
        </is>
      </c>
      <c r="R74" s="19" t="n">
        <v>46128</v>
      </c>
      <c r="S74" s="20" t="n"/>
      <c r="T74" s="20" t="n"/>
      <c r="U74" s="20" t="n"/>
      <c r="V74" s="12" t="n"/>
      <c r="W74" s="12" t="n"/>
      <c r="X74" s="18">
        <f>IF($E74="","",IF(AND($B74&lt;&gt;"",ISNA(MATCH($B74,机构表,0))),"※机构不在【资料】里",IF(AND($D74&lt;&gt;"",ISNA(MATCH($D74,状态表,0))),"※状态不在【资料】里",IF(N($M74)&gt;N($L74),"※已还本金大于典当金额",IF(AND($I74&lt;&gt;"",$J74&lt;&gt;"",$J74&lt;$I74),"※到期日早于当票日期",IF(AND($H74&lt;&gt;"",COUNTIF($H$4:$H$403,$H74)&gt;1),"※当票号在本表里出现了不止一次",IF(AND($L74&lt;&gt;"",$E74=""),"※有金额没写客户","")))))))</f>
        <v/>
      </c>
    </row>
    <row r="75">
      <c r="A75" s="18">
        <f>IF($E75="","",COUNTA($E$4:$E75))</f>
        <v/>
      </c>
      <c r="B75" s="12" t="inlineStr">
        <is>
          <t>个人典当</t>
        </is>
      </c>
      <c r="C75" s="12" t="inlineStr">
        <is>
          <t>私人借款</t>
        </is>
      </c>
      <c r="D75" s="12" t="inlineStr">
        <is>
          <t>在当</t>
        </is>
      </c>
      <c r="E75" s="12" t="inlineStr">
        <is>
          <t>林昌耿</t>
        </is>
      </c>
      <c r="F75" s="12" t="n"/>
      <c r="G75" s="12" t="n"/>
      <c r="H75" s="12" t="n"/>
      <c r="I75" s="19" t="n"/>
      <c r="J75" s="19" t="n"/>
      <c r="K75" s="19" t="n">
        <v>46021</v>
      </c>
      <c r="L75" s="20" t="n">
        <v>200000</v>
      </c>
      <c r="M75" s="20" t="n"/>
      <c r="N75" s="22">
        <f>IF($E75="","",ROUND(N($L75)-N($M75),2))</f>
        <v/>
      </c>
      <c r="O75" s="21" t="n"/>
      <c r="P75" s="20" t="n">
        <v>4000</v>
      </c>
      <c r="Q75" s="12" t="inlineStr">
        <is>
          <t>28</t>
        </is>
      </c>
      <c r="R75" s="19" t="n">
        <v>46140</v>
      </c>
      <c r="S75" s="20" t="n"/>
      <c r="T75" s="20" t="n"/>
      <c r="U75" s="20" t="n"/>
      <c r="V75" s="12" t="n"/>
      <c r="W75" s="12" t="n"/>
      <c r="X75" s="18">
        <f>IF($E75="","",IF(AND($B75&lt;&gt;"",ISNA(MATCH($B75,机构表,0))),"※机构不在【资料】里",IF(AND($D75&lt;&gt;"",ISNA(MATCH($D75,状态表,0))),"※状态不在【资料】里",IF(N($M75)&gt;N($L75),"※已还本金大于典当金额",IF(AND($I75&lt;&gt;"",$J75&lt;&gt;"",$J75&lt;$I75),"※到期日早于当票日期",IF(AND($H75&lt;&gt;"",COUNTIF($H$4:$H$403,$H75)&gt;1),"※当票号在本表里出现了不止一次",IF(AND($L75&lt;&gt;"",$E75=""),"※有金额没写客户","")))))))</f>
        <v/>
      </c>
    </row>
    <row r="76">
      <c r="A76" s="18">
        <f>IF($E76="","",COUNTA($E$4:$E76))</f>
        <v/>
      </c>
      <c r="B76" s="12" t="inlineStr">
        <is>
          <t>个人典当</t>
        </is>
      </c>
      <c r="C76" s="12" t="inlineStr">
        <is>
          <t>私人借款</t>
        </is>
      </c>
      <c r="D76" s="12" t="inlineStr">
        <is>
          <t>在当</t>
        </is>
      </c>
      <c r="E76" s="12" t="inlineStr">
        <is>
          <t>林昌耿</t>
        </is>
      </c>
      <c r="F76" s="12" t="n"/>
      <c r="G76" s="12" t="n"/>
      <c r="H76" s="12" t="n"/>
      <c r="I76" s="19" t="n"/>
      <c r="J76" s="19" t="n"/>
      <c r="K76" s="19" t="n">
        <v>46092</v>
      </c>
      <c r="L76" s="20" t="n">
        <v>150000</v>
      </c>
      <c r="M76" s="20" t="n"/>
      <c r="N76" s="22">
        <f>IF($E76="","",ROUND(N($L76)-N($M76),2))</f>
        <v/>
      </c>
      <c r="O76" s="21" t="n"/>
      <c r="P76" s="20" t="n">
        <v>3000</v>
      </c>
      <c r="Q76" s="12" t="inlineStr">
        <is>
          <t>11</t>
        </is>
      </c>
      <c r="R76" s="19" t="n">
        <v>46123</v>
      </c>
      <c r="S76" s="20" t="n"/>
      <c r="T76" s="20" t="n"/>
      <c r="U76" s="20" t="n"/>
      <c r="V76" s="12" t="n"/>
      <c r="W76" s="12" t="n"/>
      <c r="X76" s="18">
        <f>IF($E76="","",IF(AND($B76&lt;&gt;"",ISNA(MATCH($B76,机构表,0))),"※机构不在【资料】里",IF(AND($D76&lt;&gt;"",ISNA(MATCH($D76,状态表,0))),"※状态不在【资料】里",IF(N($M76)&gt;N($L76),"※已还本金大于典当金额",IF(AND($I76&lt;&gt;"",$J76&lt;&gt;"",$J76&lt;$I76),"※到期日早于当票日期",IF(AND($H76&lt;&gt;"",COUNTIF($H$4:$H$403,$H76)&gt;1),"※当票号在本表里出现了不止一次",IF(AND($L76&lt;&gt;"",$E76=""),"※有金额没写客户","")))))))</f>
        <v/>
      </c>
    </row>
    <row r="77">
      <c r="A77" s="18">
        <f>IF($E77="","",COUNTA($E$4:$E77))</f>
        <v/>
      </c>
      <c r="B77" s="12" t="inlineStr">
        <is>
          <t>个人典当</t>
        </is>
      </c>
      <c r="C77" s="12" t="inlineStr">
        <is>
          <t>私人借款</t>
        </is>
      </c>
      <c r="D77" s="12" t="inlineStr">
        <is>
          <t>在当</t>
        </is>
      </c>
      <c r="E77" s="12" t="inlineStr">
        <is>
          <t>林昌耿</t>
        </is>
      </c>
      <c r="F77" s="12" t="n"/>
      <c r="G77" s="12" t="n"/>
      <c r="H77" s="12" t="n"/>
      <c r="I77" s="19" t="n"/>
      <c r="J77" s="19" t="n"/>
      <c r="K77" s="19" t="n">
        <v>46093</v>
      </c>
      <c r="L77" s="20" t="n">
        <v>150000</v>
      </c>
      <c r="M77" s="20" t="n"/>
      <c r="N77" s="22">
        <f>IF($E77="","",ROUND(N($L77)-N($M77),2))</f>
        <v/>
      </c>
      <c r="O77" s="21" t="n"/>
      <c r="P77" s="20" t="n">
        <v>3000</v>
      </c>
      <c r="Q77" s="12" t="inlineStr">
        <is>
          <t>12</t>
        </is>
      </c>
      <c r="R77" s="19" t="n">
        <v>46124</v>
      </c>
      <c r="S77" s="20" t="n"/>
      <c r="T77" s="20" t="n"/>
      <c r="U77" s="20" t="n"/>
      <c r="V77" s="12" t="n"/>
      <c r="W77" s="12" t="n"/>
      <c r="X77" s="18">
        <f>IF($E77="","",IF(AND($B77&lt;&gt;"",ISNA(MATCH($B77,机构表,0))),"※机构不在【资料】里",IF(AND($D77&lt;&gt;"",ISNA(MATCH($D77,状态表,0))),"※状态不在【资料】里",IF(N($M77)&gt;N($L77),"※已还本金大于典当金额",IF(AND($I77&lt;&gt;"",$J77&lt;&gt;"",$J77&lt;$I77),"※到期日早于当票日期",IF(AND($H77&lt;&gt;"",COUNTIF($H$4:$H$403,$H77)&gt;1),"※当票号在本表里出现了不止一次",IF(AND($L77&lt;&gt;"",$E77=""),"※有金额没写客户","")))))))</f>
        <v/>
      </c>
    </row>
    <row r="78">
      <c r="A78" s="18">
        <f>IF($E78="","",COUNTA($E$4:$E78))</f>
        <v/>
      </c>
      <c r="B78" s="12" t="inlineStr">
        <is>
          <t>个人典当</t>
        </is>
      </c>
      <c r="C78" s="12" t="inlineStr">
        <is>
          <t>无抵押借款</t>
        </is>
      </c>
      <c r="D78" s="12" t="inlineStr">
        <is>
          <t>在当</t>
        </is>
      </c>
      <c r="E78" s="12" t="inlineStr">
        <is>
          <t>林昌耿</t>
        </is>
      </c>
      <c r="F78" s="12" t="n"/>
      <c r="G78" s="12" t="n"/>
      <c r="H78" s="12" t="n"/>
      <c r="I78" s="19" t="n"/>
      <c r="J78" s="19" t="n"/>
      <c r="K78" s="19" t="n">
        <v>46158</v>
      </c>
      <c r="L78" s="20" t="n">
        <v>20000</v>
      </c>
      <c r="M78" s="20" t="n"/>
      <c r="N78" s="22">
        <f>IF($E78="","",ROUND(N($L78)-N($M78),2))</f>
        <v/>
      </c>
      <c r="O78" s="21" t="n"/>
      <c r="P78" s="20" t="n">
        <v>400</v>
      </c>
      <c r="Q78" s="12" t="inlineStr">
        <is>
          <t>15</t>
        </is>
      </c>
      <c r="R78" s="19" t="n">
        <v>46280</v>
      </c>
      <c r="S78" s="20" t="n"/>
      <c r="T78" s="20" t="n"/>
      <c r="U78" s="20" t="n"/>
      <c r="V78" s="12" t="n"/>
      <c r="W78" s="12" t="n"/>
      <c r="X78" s="18">
        <f>IF($E78="","",IF(AND($B78&lt;&gt;"",ISNA(MATCH($B78,机构表,0))),"※机构不在【资料】里",IF(AND($D78&lt;&gt;"",ISNA(MATCH($D78,状态表,0))),"※状态不在【资料】里",IF(N($M78)&gt;N($L78),"※已还本金大于典当金额",IF(AND($I78&lt;&gt;"",$J78&lt;&gt;"",$J78&lt;$I78),"※到期日早于当票日期",IF(AND($H78&lt;&gt;"",COUNTIF($H$4:$H$403,$H78)&gt;1),"※当票号在本表里出现了不止一次",IF(AND($L78&lt;&gt;"",$E78=""),"※有金额没写客户","")))))))</f>
        <v/>
      </c>
    </row>
    <row r="79">
      <c r="A79" s="18">
        <f>IF($E79="","",COUNTA($E$4:$E79))</f>
        <v/>
      </c>
      <c r="B79" s="12" t="inlineStr">
        <is>
          <t>个人典当</t>
        </is>
      </c>
      <c r="C79" s="12" t="inlineStr">
        <is>
          <t>无抵押借款</t>
        </is>
      </c>
      <c r="D79" s="12" t="inlineStr">
        <is>
          <t>在当</t>
        </is>
      </c>
      <c r="E79" s="12" t="inlineStr">
        <is>
          <t>林昌耿</t>
        </is>
      </c>
      <c r="F79" s="12" t="n"/>
      <c r="G79" s="12" t="n"/>
      <c r="H79" s="12" t="n"/>
      <c r="I79" s="19" t="n"/>
      <c r="J79" s="19" t="n"/>
      <c r="K79" s="19" t="n">
        <v>46161</v>
      </c>
      <c r="L79" s="20" t="n">
        <v>30000</v>
      </c>
      <c r="M79" s="20" t="n"/>
      <c r="N79" s="22">
        <f>IF($E79="","",ROUND(N($L79)-N($M79),2))</f>
        <v/>
      </c>
      <c r="O79" s="21" t="n"/>
      <c r="P79" s="20" t="n">
        <v>600</v>
      </c>
      <c r="Q79" s="12" t="inlineStr">
        <is>
          <t>19</t>
        </is>
      </c>
      <c r="R79" s="19" t="n">
        <v>46284</v>
      </c>
      <c r="S79" s="20" t="n"/>
      <c r="T79" s="20" t="n"/>
      <c r="U79" s="20" t="n"/>
      <c r="V79" s="12" t="n"/>
      <c r="W79" s="12" t="n"/>
      <c r="X79" s="18">
        <f>IF($E79="","",IF(AND($B79&lt;&gt;"",ISNA(MATCH($B79,机构表,0))),"※机构不在【资料】里",IF(AND($D79&lt;&gt;"",ISNA(MATCH($D79,状态表,0))),"※状态不在【资料】里",IF(N($M79)&gt;N($L79),"※已还本金大于典当金额",IF(AND($I79&lt;&gt;"",$J79&lt;&gt;"",$J79&lt;$I79),"※到期日早于当票日期",IF(AND($H79&lt;&gt;"",COUNTIF($H$4:$H$403,$H79)&gt;1),"※当票号在本表里出现了不止一次",IF(AND($L79&lt;&gt;"",$E79=""),"※有金额没写客户","")))))))</f>
        <v/>
      </c>
    </row>
    <row r="80">
      <c r="A80" s="18">
        <f>IF($E80="","",COUNTA($E$4:$E80))</f>
        <v/>
      </c>
      <c r="B80" s="12" t="inlineStr">
        <is>
          <t>个人典当</t>
        </is>
      </c>
      <c r="C80" s="12" t="inlineStr">
        <is>
          <t>无抵押借款</t>
        </is>
      </c>
      <c r="D80" s="12" t="inlineStr">
        <is>
          <t>在当</t>
        </is>
      </c>
      <c r="E80" s="12" t="inlineStr">
        <is>
          <t>林昌耿</t>
        </is>
      </c>
      <c r="F80" s="12" t="n"/>
      <c r="G80" s="12" t="n"/>
      <c r="H80" s="12" t="n"/>
      <c r="I80" s="19" t="n"/>
      <c r="J80" s="19" t="n"/>
      <c r="K80" s="19" t="n">
        <v>46197</v>
      </c>
      <c r="L80" s="20" t="n">
        <v>50000</v>
      </c>
      <c r="M80" s="20" t="n"/>
      <c r="N80" s="22">
        <f>IF($E80="","",ROUND(N($L80)-N($M80),2))</f>
        <v/>
      </c>
      <c r="O80" s="21" t="n"/>
      <c r="P80" s="20" t="n">
        <v>1250</v>
      </c>
      <c r="Q80" s="12" t="inlineStr">
        <is>
          <t>23</t>
        </is>
      </c>
      <c r="R80" s="19" t="n">
        <v>46288</v>
      </c>
      <c r="S80" s="20" t="n"/>
      <c r="T80" s="20" t="n"/>
      <c r="U80" s="20" t="n"/>
      <c r="V80" s="12" t="n"/>
      <c r="W80" s="12" t="n"/>
      <c r="X80" s="18">
        <f>IF($E80="","",IF(AND($B80&lt;&gt;"",ISNA(MATCH($B80,机构表,0))),"※机构不在【资料】里",IF(AND($D80&lt;&gt;"",ISNA(MATCH($D80,状态表,0))),"※状态不在【资料】里",IF(N($M80)&gt;N($L80),"※已还本金大于典当金额",IF(AND($I80&lt;&gt;"",$J80&lt;&gt;"",$J80&lt;$I80),"※到期日早于当票日期",IF(AND($H80&lt;&gt;"",COUNTIF($H$4:$H$403,$H80)&gt;1),"※当票号在本表里出现了不止一次",IF(AND($L80&lt;&gt;"",$E80=""),"※有金额没写客户","")))))))</f>
        <v/>
      </c>
    </row>
    <row r="81">
      <c r="A81" s="18">
        <f>IF($E81="","",COUNTA($E$4:$E81))</f>
        <v/>
      </c>
      <c r="B81" s="12" t="inlineStr">
        <is>
          <t>个人典当</t>
        </is>
      </c>
      <c r="C81" s="12" t="inlineStr">
        <is>
          <t>无抵押借款</t>
        </is>
      </c>
      <c r="D81" s="12" t="inlineStr">
        <is>
          <t>在当</t>
        </is>
      </c>
      <c r="E81" s="12" t="inlineStr">
        <is>
          <t>林昌耿</t>
        </is>
      </c>
      <c r="F81" s="12" t="n"/>
      <c r="G81" s="12" t="n"/>
      <c r="H81" s="12" t="n"/>
      <c r="I81" s="19" t="n"/>
      <c r="J81" s="19" t="n"/>
      <c r="K81" s="19" t="n">
        <v>46223</v>
      </c>
      <c r="L81" s="20" t="n">
        <v>50000</v>
      </c>
      <c r="M81" s="20" t="n"/>
      <c r="N81" s="22">
        <f>IF($E81="","",ROUND(N($L81)-N($M81),2))</f>
        <v/>
      </c>
      <c r="O81" s="21" t="n"/>
      <c r="P81" s="20" t="n">
        <v>1250</v>
      </c>
      <c r="Q81" s="12" t="inlineStr">
        <is>
          <t>20</t>
        </is>
      </c>
      <c r="R81" s="19" t="n">
        <v>46285</v>
      </c>
      <c r="S81" s="20" t="n"/>
      <c r="T81" s="20" t="n"/>
      <c r="U81" s="20" t="n"/>
      <c r="V81" s="12" t="n"/>
      <c r="W81" s="12" t="n"/>
      <c r="X81" s="18">
        <f>IF($E81="","",IF(AND($B81&lt;&gt;"",ISNA(MATCH($B81,机构表,0))),"※机构不在【资料】里",IF(AND($D81&lt;&gt;"",ISNA(MATCH($D81,状态表,0))),"※状态不在【资料】里",IF(N($M81)&gt;N($L81),"※已还本金大于典当金额",IF(AND($I81&lt;&gt;"",$J81&lt;&gt;"",$J81&lt;$I81),"※到期日早于当票日期",IF(AND($H81&lt;&gt;"",COUNTIF($H$4:$H$403,$H81)&gt;1),"※当票号在本表里出现了不止一次",IF(AND($L81&lt;&gt;"",$E81=""),"※有金额没写客户","")))))))</f>
        <v/>
      </c>
    </row>
    <row r="82">
      <c r="A82" s="18">
        <f>IF($E82="","",COUNTA($E$4:$E82))</f>
        <v/>
      </c>
      <c r="B82" s="12" t="inlineStr">
        <is>
          <t>个人典当</t>
        </is>
      </c>
      <c r="C82" s="12" t="inlineStr">
        <is>
          <t>无抵押借款</t>
        </is>
      </c>
      <c r="D82" s="12" t="inlineStr">
        <is>
          <t>在当</t>
        </is>
      </c>
      <c r="E82" s="12" t="inlineStr">
        <is>
          <t>林昌耿</t>
        </is>
      </c>
      <c r="F82" s="12" t="n"/>
      <c r="G82" s="12" t="n"/>
      <c r="H82" s="12" t="n"/>
      <c r="I82" s="19" t="n"/>
      <c r="J82" s="19" t="n"/>
      <c r="K82" s="19" t="n">
        <v>46254</v>
      </c>
      <c r="L82" s="20" t="n">
        <v>50000</v>
      </c>
      <c r="M82" s="20" t="n"/>
      <c r="N82" s="22">
        <f>IF($E82="","",ROUND(N($L82)-N($M82),2))</f>
        <v/>
      </c>
      <c r="O82" s="21" t="n"/>
      <c r="P82" s="20" t="n">
        <v>1250</v>
      </c>
      <c r="Q82" s="12" t="inlineStr">
        <is>
          <t>20</t>
        </is>
      </c>
      <c r="R82" s="19" t="n">
        <v>46285</v>
      </c>
      <c r="S82" s="20" t="n"/>
      <c r="T82" s="20" t="n"/>
      <c r="U82" s="20" t="n"/>
      <c r="V82" s="12" t="n"/>
      <c r="W82" s="12" t="n"/>
      <c r="X82" s="18">
        <f>IF($E82="","",IF(AND($B82&lt;&gt;"",ISNA(MATCH($B82,机构表,0))),"※机构不在【资料】里",IF(AND($D82&lt;&gt;"",ISNA(MATCH($D82,状态表,0))),"※状态不在【资料】里",IF(N($M82)&gt;N($L82),"※已还本金大于典当金额",IF(AND($I82&lt;&gt;"",$J82&lt;&gt;"",$J82&lt;$I82),"※到期日早于当票日期",IF(AND($H82&lt;&gt;"",COUNTIF($H$4:$H$403,$H82)&gt;1),"※当票号在本表里出现了不止一次",IF(AND($L82&lt;&gt;"",$E82=""),"※有金额没写客户","")))))))</f>
        <v/>
      </c>
    </row>
    <row r="83">
      <c r="A83" s="18">
        <f>IF($E83="","",COUNTA($E$4:$E83))</f>
        <v/>
      </c>
      <c r="B83" s="12" t="inlineStr">
        <is>
          <t>个人典当</t>
        </is>
      </c>
      <c r="C83" s="12" t="inlineStr">
        <is>
          <t>无抵押借款</t>
        </is>
      </c>
      <c r="D83" s="12" t="inlineStr">
        <is>
          <t>在当</t>
        </is>
      </c>
      <c r="E83" s="12" t="inlineStr">
        <is>
          <t>林昌耿</t>
        </is>
      </c>
      <c r="F83" s="12" t="n"/>
      <c r="G83" s="12" t="n"/>
      <c r="H83" s="12" t="n"/>
      <c r="I83" s="19" t="n"/>
      <c r="J83" s="19" t="n"/>
      <c r="K83" s="19" t="n">
        <v>46258</v>
      </c>
      <c r="L83" s="20" t="n">
        <v>30000</v>
      </c>
      <c r="M83" s="20" t="n"/>
      <c r="N83" s="22">
        <f>IF($E83="","",ROUND(N($L83)-N($M83),2))</f>
        <v/>
      </c>
      <c r="O83" s="21" t="n"/>
      <c r="P83" s="20" t="n">
        <v>750</v>
      </c>
      <c r="Q83" s="12" t="inlineStr">
        <is>
          <t>24</t>
        </is>
      </c>
      <c r="R83" s="19" t="n">
        <v>46289</v>
      </c>
      <c r="S83" s="20" t="n"/>
      <c r="T83" s="20" t="n"/>
      <c r="U83" s="20" t="n"/>
      <c r="V83" s="12" t="n"/>
      <c r="W83" s="12" t="n"/>
      <c r="X83" s="18">
        <f>IF($E83="","",IF(AND($B83&lt;&gt;"",ISNA(MATCH($B83,机构表,0))),"※机构不在【资料】里",IF(AND($D83&lt;&gt;"",ISNA(MATCH($D83,状态表,0))),"※状态不在【资料】里",IF(N($M83)&gt;N($L83),"※已还本金大于典当金额",IF(AND($I83&lt;&gt;"",$J83&lt;&gt;"",$J83&lt;$I83),"※到期日早于当票日期",IF(AND($H83&lt;&gt;"",COUNTIF($H$4:$H$403,$H83)&gt;1),"※当票号在本表里出现了不止一次",IF(AND($L83&lt;&gt;"",$E83=""),"※有金额没写客户","")))))))</f>
        <v/>
      </c>
    </row>
    <row r="84">
      <c r="A84" s="18">
        <f>IF($E84="","",COUNTA($E$4:$E84))</f>
        <v/>
      </c>
      <c r="B84" s="12" t="inlineStr">
        <is>
          <t>个人典当</t>
        </is>
      </c>
      <c r="C84" s="12" t="inlineStr">
        <is>
          <t>无抵押借款</t>
        </is>
      </c>
      <c r="D84" s="12" t="inlineStr">
        <is>
          <t>在当</t>
        </is>
      </c>
      <c r="E84" s="12" t="inlineStr">
        <is>
          <t>林昌耿</t>
        </is>
      </c>
      <c r="F84" s="12" t="n"/>
      <c r="G84" s="12" t="n"/>
      <c r="H84" s="12" t="n"/>
      <c r="I84" s="19" t="n"/>
      <c r="J84" s="19" t="n"/>
      <c r="K84" s="19" t="n">
        <v>46269</v>
      </c>
      <c r="L84" s="20" t="n">
        <v>60000</v>
      </c>
      <c r="M84" s="20" t="n"/>
      <c r="N84" s="22">
        <f>IF($E84="","",ROUND(N($L84)-N($M84),2))</f>
        <v/>
      </c>
      <c r="O84" s="21" t="n"/>
      <c r="P84" s="20" t="n">
        <v>1500</v>
      </c>
      <c r="Q84" s="12" t="inlineStr">
        <is>
          <t>4</t>
        </is>
      </c>
      <c r="R84" s="19" t="n">
        <v>46269</v>
      </c>
      <c r="S84" s="20" t="n"/>
      <c r="T84" s="20" t="n"/>
      <c r="U84" s="20" t="n"/>
      <c r="V84" s="12" t="n"/>
      <c r="W84" s="12" t="n"/>
      <c r="X84" s="18">
        <f>IF($E84="","",IF(AND($B84&lt;&gt;"",ISNA(MATCH($B84,机构表,0))),"※机构不在【资料】里",IF(AND($D84&lt;&gt;"",ISNA(MATCH($D84,状态表,0))),"※状态不在【资料】里",IF(N($M84)&gt;N($L84),"※已还本金大于典当金额",IF(AND($I84&lt;&gt;"",$J84&lt;&gt;"",$J84&lt;$I84),"※到期日早于当票日期",IF(AND($H84&lt;&gt;"",COUNTIF($H$4:$H$403,$H84)&gt;1),"※当票号在本表里出现了不止一次",IF(AND($L84&lt;&gt;"",$E84=""),"※有金额没写客户","")))))))</f>
        <v/>
      </c>
    </row>
    <row r="85">
      <c r="A85" s="18">
        <f>IF($E85="","",COUNTA($E$4:$E85))</f>
        <v/>
      </c>
      <c r="B85" s="12" t="inlineStr">
        <is>
          <t>个人典当</t>
        </is>
      </c>
      <c r="C85" s="12" t="inlineStr">
        <is>
          <t>钻戒</t>
        </is>
      </c>
      <c r="D85" s="12" t="inlineStr">
        <is>
          <t>在当</t>
        </is>
      </c>
      <c r="E85" s="12" t="inlineStr">
        <is>
          <t>林芬</t>
        </is>
      </c>
      <c r="F85" s="12" t="n"/>
      <c r="G85" s="12" t="n"/>
      <c r="H85" s="12" t="n"/>
      <c r="I85" s="19" t="n"/>
      <c r="J85" s="19" t="n">
        <v>45906</v>
      </c>
      <c r="K85" s="19" t="n">
        <v>45877</v>
      </c>
      <c r="L85" s="20" t="n">
        <v>9000</v>
      </c>
      <c r="M85" s="20" t="n"/>
      <c r="N85" s="22">
        <f>IF($E85="","",ROUND(N($L85)-N($M85),2))</f>
        <v/>
      </c>
      <c r="O85" s="21" t="n"/>
      <c r="P85" s="20" t="n">
        <v>230</v>
      </c>
      <c r="Q85" s="12" t="inlineStr">
        <is>
          <t>7</t>
        </is>
      </c>
      <c r="R85" s="19" t="n">
        <v>46272</v>
      </c>
      <c r="S85" s="20" t="n"/>
      <c r="T85" s="20" t="n"/>
      <c r="U85" s="20" t="n"/>
      <c r="V85" s="12" t="n"/>
      <c r="W85" s="12" t="n"/>
      <c r="X85" s="18">
        <f>IF($E85="","",IF(AND($B85&lt;&gt;"",ISNA(MATCH($B85,机构表,0))),"※机构不在【资料】里",IF(AND($D85&lt;&gt;"",ISNA(MATCH($D85,状态表,0))),"※状态不在【资料】里",IF(N($M85)&gt;N($L85),"※已还本金大于典当金额",IF(AND($I85&lt;&gt;"",$J85&lt;&gt;"",$J85&lt;$I85),"※到期日早于当票日期",IF(AND($H85&lt;&gt;"",COUNTIF($H$4:$H$403,$H85)&gt;1),"※当票号在本表里出现了不止一次",IF(AND($L85&lt;&gt;"",$E85=""),"※有金额没写客户","")))))))</f>
        <v/>
      </c>
    </row>
    <row r="86">
      <c r="A86" s="18">
        <f>IF($E86="","",COUNTA($E$4:$E86))</f>
        <v/>
      </c>
      <c r="B86" s="12" t="inlineStr">
        <is>
          <t>金辉典当</t>
        </is>
      </c>
      <c r="C86" s="12" t="inlineStr">
        <is>
          <t>房产</t>
        </is>
      </c>
      <c r="D86" s="12" t="inlineStr">
        <is>
          <t>在当</t>
        </is>
      </c>
      <c r="E86" s="12" t="inlineStr">
        <is>
          <t>林浩</t>
        </is>
      </c>
      <c r="F86" s="12" t="n"/>
      <c r="G86" s="12" t="n"/>
      <c r="H86" s="12" t="inlineStr">
        <is>
          <t>3519260512</t>
        </is>
      </c>
      <c r="I86" s="19" t="n">
        <v>46037</v>
      </c>
      <c r="J86" s="19" t="n">
        <v>46096</v>
      </c>
      <c r="K86" s="19" t="n"/>
      <c r="L86" s="20" t="n">
        <v>100000</v>
      </c>
      <c r="M86" s="20" t="n"/>
      <c r="N86" s="22">
        <f>IF($E86="","",ROUND(N($L86)-N($M86),2))</f>
        <v/>
      </c>
      <c r="O86" s="21" t="n">
        <v>0.025</v>
      </c>
      <c r="P86" s="20" t="n">
        <v>2500</v>
      </c>
      <c r="Q86" s="12" t="inlineStr">
        <is>
          <t>15</t>
        </is>
      </c>
      <c r="R86" s="19" t="n">
        <v>46280</v>
      </c>
      <c r="S86" s="20" t="n"/>
      <c r="T86" s="20" t="n"/>
      <c r="U86" s="20" t="n"/>
      <c r="V86" s="12" t="n"/>
      <c r="W86" s="12" t="n"/>
      <c r="X86" s="18">
        <f>IF($E86="","",IF(AND($B86&lt;&gt;"",ISNA(MATCH($B86,机构表,0))),"※机构不在【资料】里",IF(AND($D86&lt;&gt;"",ISNA(MATCH($D86,状态表,0))),"※状态不在【资料】里",IF(N($M86)&gt;N($L86),"※已还本金大于典当金额",IF(AND($I86&lt;&gt;"",$J86&lt;&gt;"",$J86&lt;$I86),"※到期日早于当票日期",IF(AND($H86&lt;&gt;"",COUNTIF($H$4:$H$403,$H86)&gt;1),"※当票号在本表里出现了不止一次",IF(AND($L86&lt;&gt;"",$E86=""),"※有金额没写客户","")))))))</f>
        <v/>
      </c>
    </row>
    <row r="87">
      <c r="A87" s="18">
        <f>IF($E87="","",COUNTA($E$4:$E87))</f>
        <v/>
      </c>
      <c r="B87" s="12" t="inlineStr">
        <is>
          <t>金辉典当</t>
        </is>
      </c>
      <c r="C87" s="12" t="inlineStr">
        <is>
          <t>房产</t>
        </is>
      </c>
      <c r="D87" s="12" t="inlineStr">
        <is>
          <t>起诉还款</t>
        </is>
      </c>
      <c r="E87" s="12" t="inlineStr">
        <is>
          <t>林华</t>
        </is>
      </c>
      <c r="F87" s="12" t="n"/>
      <c r="G87" s="12" t="n"/>
      <c r="H87" s="12" t="n"/>
      <c r="I87" s="19" t="n">
        <v>45132</v>
      </c>
      <c r="J87" s="19" t="n"/>
      <c r="K87" s="19" t="n">
        <v>45255</v>
      </c>
      <c r="L87" s="20" t="n">
        <v>20000</v>
      </c>
      <c r="M87" s="20" t="n"/>
      <c r="N87" s="22">
        <f>IF($E87="","",ROUND(N($L87)-N($M87),2))</f>
        <v/>
      </c>
      <c r="O87" s="21" t="n">
        <v>0.03</v>
      </c>
      <c r="P87" s="20" t="n">
        <v>500</v>
      </c>
      <c r="Q87" s="12" t="inlineStr">
        <is>
          <t>22</t>
        </is>
      </c>
      <c r="R87" s="19" t="n">
        <v>45404</v>
      </c>
      <c r="S87" s="20" t="n"/>
      <c r="T87" s="20" t="n"/>
      <c r="U87" s="20" t="n">
        <v>500</v>
      </c>
      <c r="V87" s="12" t="inlineStr">
        <is>
          <t>先息</t>
        </is>
      </c>
      <c r="W87" s="12" t="n"/>
      <c r="X87" s="18">
        <f>IF($E87="","",IF(AND($B87&lt;&gt;"",ISNA(MATCH($B87,机构表,0))),"※机构不在【资料】里",IF(AND($D87&lt;&gt;"",ISNA(MATCH($D87,状态表,0))),"※状态不在【资料】里",IF(N($M87)&gt;N($L87),"※已还本金大于典当金额",IF(AND($I87&lt;&gt;"",$J87&lt;&gt;"",$J87&lt;$I87),"※到期日早于当票日期",IF(AND($H87&lt;&gt;"",COUNTIF($H$4:$H$403,$H87)&gt;1),"※当票号在本表里出现了不止一次",IF(AND($L87&lt;&gt;"",$E87=""),"※有金额没写客户","")))))))</f>
        <v/>
      </c>
    </row>
    <row r="88">
      <c r="A88" s="18">
        <f>IF($E88="","",COUNTA($E$4:$E88))</f>
        <v/>
      </c>
      <c r="B88" s="12" t="inlineStr">
        <is>
          <t>个人典当</t>
        </is>
      </c>
      <c r="C88" s="12" t="inlineStr">
        <is>
          <t>黄金</t>
        </is>
      </c>
      <c r="D88" s="12" t="inlineStr">
        <is>
          <t>在当</t>
        </is>
      </c>
      <c r="E88" s="12" t="inlineStr">
        <is>
          <t>林惠明</t>
        </is>
      </c>
      <c r="F88" s="12" t="n"/>
      <c r="G88" s="12" t="n"/>
      <c r="H88" s="12" t="n"/>
      <c r="I88" s="19" t="n"/>
      <c r="J88" s="19" t="n">
        <v>45707</v>
      </c>
      <c r="K88" s="19" t="n">
        <v>45678</v>
      </c>
      <c r="L88" s="20" t="n">
        <v>33000</v>
      </c>
      <c r="M88" s="20" t="n"/>
      <c r="N88" s="22">
        <f>IF($E88="","",ROUND(N($L88)-N($M88),2))</f>
        <v/>
      </c>
      <c r="O88" s="21" t="n"/>
      <c r="P88" s="20" t="n">
        <v>825</v>
      </c>
      <c r="Q88" s="12" t="inlineStr">
        <is>
          <t>19</t>
        </is>
      </c>
      <c r="R88" s="19" t="n">
        <v>46284</v>
      </c>
      <c r="S88" s="20" t="n"/>
      <c r="T88" s="20" t="n"/>
      <c r="U88" s="20" t="n"/>
      <c r="V88" s="12" t="n"/>
      <c r="W88" s="12" t="n"/>
      <c r="X88" s="18">
        <f>IF($E88="","",IF(AND($B88&lt;&gt;"",ISNA(MATCH($B88,机构表,0))),"※机构不在【资料】里",IF(AND($D88&lt;&gt;"",ISNA(MATCH($D88,状态表,0))),"※状态不在【资料】里",IF(N($M88)&gt;N($L88),"※已还本金大于典当金额",IF(AND($I88&lt;&gt;"",$J88&lt;&gt;"",$J88&lt;$I88),"※到期日早于当票日期",IF(AND($H88&lt;&gt;"",COUNTIF($H$4:$H$403,$H88)&gt;1),"※当票号在本表里出现了不止一次",IF(AND($L88&lt;&gt;"",$E88=""),"※有金额没写客户","")))))))</f>
        <v/>
      </c>
    </row>
    <row r="89">
      <c r="A89" s="18">
        <f>IF($E89="","",COUNTA($E$4:$E89))</f>
        <v/>
      </c>
      <c r="B89" s="12" t="inlineStr">
        <is>
          <t>个人典当</t>
        </is>
      </c>
      <c r="C89" s="12" t="inlineStr">
        <is>
          <t>私人借款</t>
        </is>
      </c>
      <c r="D89" s="12" t="inlineStr">
        <is>
          <t>无法回款</t>
        </is>
      </c>
      <c r="E89" s="12" t="inlineStr">
        <is>
          <t>林剑凡</t>
        </is>
      </c>
      <c r="F89" s="12" t="n"/>
      <c r="G89" s="12" t="n"/>
      <c r="H89" s="12" t="n"/>
      <c r="I89" s="19" t="n"/>
      <c r="J89" s="19" t="n">
        <v>45244</v>
      </c>
      <c r="K89" s="19" t="n">
        <v>45225</v>
      </c>
      <c r="L89" s="20" t="n">
        <v>150000</v>
      </c>
      <c r="M89" s="20" t="n"/>
      <c r="N89" s="22">
        <f>IF($E89="","",ROUND(N($L89)-N($M89),2))</f>
        <v/>
      </c>
      <c r="O89" s="21" t="n"/>
      <c r="P89" s="20" t="n"/>
      <c r="Q89" s="12" t="n"/>
      <c r="R89" s="19" t="n"/>
      <c r="S89" s="20" t="n"/>
      <c r="T89" s="20" t="n"/>
      <c r="U89" s="20" t="n"/>
      <c r="V89" s="12" t="n"/>
      <c r="W89" s="12" t="n"/>
      <c r="X89" s="18">
        <f>IF($E89="","",IF(AND($B89&lt;&gt;"",ISNA(MATCH($B89,机构表,0))),"※机构不在【资料】里",IF(AND($D89&lt;&gt;"",ISNA(MATCH($D89,状态表,0))),"※状态不在【资料】里",IF(N($M89)&gt;N($L89),"※已还本金大于典当金额",IF(AND($I89&lt;&gt;"",$J89&lt;&gt;"",$J89&lt;$I89),"※到期日早于当票日期",IF(AND($H89&lt;&gt;"",COUNTIF($H$4:$H$403,$H89)&gt;1),"※当票号在本表里出现了不止一次",IF(AND($L89&lt;&gt;"",$E89=""),"※有金额没写客户","")))))))</f>
        <v/>
      </c>
    </row>
    <row r="90">
      <c r="A90" s="18">
        <f>IF($E90="","",COUNTA($E$4:$E90))</f>
        <v/>
      </c>
      <c r="B90" s="12" t="inlineStr">
        <is>
          <t>个人典当</t>
        </is>
      </c>
      <c r="C90" s="12" t="inlineStr">
        <is>
          <t>私人借款</t>
        </is>
      </c>
      <c r="D90" s="12" t="inlineStr">
        <is>
          <t>无法回款</t>
        </is>
      </c>
      <c r="E90" s="12" t="inlineStr">
        <is>
          <t>林俊行</t>
        </is>
      </c>
      <c r="F90" s="12" t="n"/>
      <c r="G90" s="12" t="n"/>
      <c r="H90" s="12" t="n"/>
      <c r="I90" s="19" t="n"/>
      <c r="J90" s="19" t="n"/>
      <c r="K90" s="19" t="n">
        <v>45391</v>
      </c>
      <c r="L90" s="20" t="n">
        <v>20000</v>
      </c>
      <c r="M90" s="20" t="n"/>
      <c r="N90" s="22">
        <f>IF($E90="","",ROUND(N($L90)-N($M90),2))</f>
        <v/>
      </c>
      <c r="O90" s="21" t="n"/>
      <c r="P90" s="20" t="n"/>
      <c r="Q90" s="12" t="n"/>
      <c r="R90" s="19" t="n"/>
      <c r="S90" s="20" t="n"/>
      <c r="T90" s="20" t="n"/>
      <c r="U90" s="20" t="n"/>
      <c r="V90" s="12" t="n"/>
      <c r="W90" s="12" t="n"/>
      <c r="X90" s="18">
        <f>IF($E90="","",IF(AND($B90&lt;&gt;"",ISNA(MATCH($B90,机构表,0))),"※机构不在【资料】里",IF(AND($D90&lt;&gt;"",ISNA(MATCH($D90,状态表,0))),"※状态不在【资料】里",IF(N($M90)&gt;N($L90),"※已还本金大于典当金额",IF(AND($I90&lt;&gt;"",$J90&lt;&gt;"",$J90&lt;$I90),"※到期日早于当票日期",IF(AND($H90&lt;&gt;"",COUNTIF($H$4:$H$403,$H90)&gt;1),"※当票号在本表里出现了不止一次",IF(AND($L90&lt;&gt;"",$E90=""),"※有金额没写客户","")))))))</f>
        <v/>
      </c>
    </row>
    <row r="91">
      <c r="A91" s="18">
        <f>IF($E91="","",COUNTA($E$4:$E91))</f>
        <v/>
      </c>
      <c r="B91" s="12" t="inlineStr">
        <is>
          <t>金辉典当</t>
        </is>
      </c>
      <c r="C91" s="12" t="inlineStr">
        <is>
          <t>黄金</t>
        </is>
      </c>
      <c r="D91" s="12" t="inlineStr">
        <is>
          <t>在当</t>
        </is>
      </c>
      <c r="E91" s="12" t="inlineStr">
        <is>
          <t>林凯鑫</t>
        </is>
      </c>
      <c r="F91" s="12" t="n"/>
      <c r="G91" s="12" t="n"/>
      <c r="H91" s="12" t="inlineStr">
        <is>
          <t>3524019246</t>
        </is>
      </c>
      <c r="I91" s="19" t="n">
        <v>46266</v>
      </c>
      <c r="J91" s="19" t="n">
        <v>46445</v>
      </c>
      <c r="K91" s="19" t="n"/>
      <c r="L91" s="20" t="n">
        <v>90000</v>
      </c>
      <c r="M91" s="20" t="n"/>
      <c r="N91" s="22">
        <f>IF($E91="","",ROUND(N($L91)-N($M91),2))</f>
        <v/>
      </c>
      <c r="O91" s="21" t="n">
        <v>0.003</v>
      </c>
      <c r="P91" s="20" t="n">
        <v>1350</v>
      </c>
      <c r="Q91" s="12" t="inlineStr">
        <is>
          <t>1</t>
        </is>
      </c>
      <c r="R91" s="19" t="n">
        <v>46266</v>
      </c>
      <c r="S91" s="20" t="n">
        <v>270</v>
      </c>
      <c r="T91" s="20" t="n"/>
      <c r="U91" s="20" t="n"/>
      <c r="V91" s="12" t="n"/>
      <c r="W91" s="12" t="n"/>
      <c r="X91" s="18">
        <f>IF($E91="","",IF(AND($B91&lt;&gt;"",ISNA(MATCH($B91,机构表,0))),"※机构不在【资料】里",IF(AND($D91&lt;&gt;"",ISNA(MATCH($D91,状态表,0))),"※状态不在【资料】里",IF(N($M91)&gt;N($L91),"※已还本金大于典当金额",IF(AND($I91&lt;&gt;"",$J91&lt;&gt;"",$J91&lt;$I91),"※到期日早于当票日期",IF(AND($H91&lt;&gt;"",COUNTIF($H$4:$H$403,$H91)&gt;1),"※当票号在本表里出现了不止一次",IF(AND($L91&lt;&gt;"",$E91=""),"※有金额没写客户","")))))))</f>
        <v/>
      </c>
    </row>
    <row r="92">
      <c r="A92" s="18">
        <f>IF($E92="","",COUNTA($E$4:$E92))</f>
        <v/>
      </c>
      <c r="B92" s="12" t="inlineStr">
        <is>
          <t>金辉典当</t>
        </is>
      </c>
      <c r="C92" s="12" t="inlineStr">
        <is>
          <t>房产</t>
        </is>
      </c>
      <c r="D92" s="12" t="inlineStr">
        <is>
          <t>在当</t>
        </is>
      </c>
      <c r="E92" s="12" t="inlineStr">
        <is>
          <t>林鹏</t>
        </is>
      </c>
      <c r="F92" s="12" t="n"/>
      <c r="G92" s="12" t="n"/>
      <c r="H92" s="12" t="inlineStr">
        <is>
          <t>3519260522</t>
        </is>
      </c>
      <c r="I92" s="19" t="n">
        <v>46111</v>
      </c>
      <c r="J92" s="19" t="n">
        <v>46290</v>
      </c>
      <c r="K92" s="19" t="n"/>
      <c r="L92" s="20" t="n">
        <v>100000</v>
      </c>
      <c r="M92" s="20" t="n"/>
      <c r="N92" s="22">
        <f>IF($E92="","",ROUND(N($L92)-N($M92),2))</f>
        <v/>
      </c>
      <c r="O92" s="21" t="n">
        <v>0.02</v>
      </c>
      <c r="P92" s="20" t="n">
        <v>2000</v>
      </c>
      <c r="Q92" s="12" t="inlineStr">
        <is>
          <t>29</t>
        </is>
      </c>
      <c r="R92" s="19" t="n">
        <v>46294</v>
      </c>
      <c r="S92" s="20" t="n"/>
      <c r="T92" s="20" t="n"/>
      <c r="U92" s="20" t="n"/>
      <c r="V92" s="12" t="n"/>
      <c r="W92" s="12" t="inlineStr">
        <is>
          <t>对公收利息</t>
        </is>
      </c>
      <c r="X92" s="18">
        <f>IF($E92="","",IF(AND($B92&lt;&gt;"",ISNA(MATCH($B92,机构表,0))),"※机构不在【资料】里",IF(AND($D92&lt;&gt;"",ISNA(MATCH($D92,状态表,0))),"※状态不在【资料】里",IF(N($M92)&gt;N($L92),"※已还本金大于典当金额",IF(AND($I92&lt;&gt;"",$J92&lt;&gt;"",$J92&lt;$I92),"※到期日早于当票日期",IF(AND($H92&lt;&gt;"",COUNTIF($H$4:$H$403,$H92)&gt;1),"※当票号在本表里出现了不止一次",IF(AND($L92&lt;&gt;"",$E92=""),"※有金额没写客户","")))))))</f>
        <v/>
      </c>
    </row>
    <row r="93">
      <c r="A93" s="18">
        <f>IF($E93="","",COUNTA($E$4:$E93))</f>
        <v/>
      </c>
      <c r="B93" s="12" t="inlineStr">
        <is>
          <t>金辉典当</t>
        </is>
      </c>
      <c r="C93" s="12" t="inlineStr">
        <is>
          <t>房产</t>
        </is>
      </c>
      <c r="D93" s="12" t="inlineStr">
        <is>
          <t>在当</t>
        </is>
      </c>
      <c r="E93" s="12" t="inlineStr">
        <is>
          <t>林鹏</t>
        </is>
      </c>
      <c r="F93" s="12" t="n"/>
      <c r="G93" s="12" t="n"/>
      <c r="H93" s="12" t="inlineStr">
        <is>
          <t>3524019227</t>
        </is>
      </c>
      <c r="I93" s="19" t="n">
        <v>46163</v>
      </c>
      <c r="J93" s="19" t="n">
        <v>46252</v>
      </c>
      <c r="K93" s="19" t="n"/>
      <c r="L93" s="20" t="n">
        <v>50000</v>
      </c>
      <c r="M93" s="20" t="n"/>
      <c r="N93" s="22">
        <f>IF($E93="","",ROUND(N($L93)-N($M93),2))</f>
        <v/>
      </c>
      <c r="O93" s="21" t="n">
        <v>0.02</v>
      </c>
      <c r="P93" s="20" t="n">
        <v>1000</v>
      </c>
      <c r="Q93" s="12" t="inlineStr">
        <is>
          <t>20</t>
        </is>
      </c>
      <c r="R93" s="19" t="n">
        <v>46285</v>
      </c>
      <c r="S93" s="20" t="n"/>
      <c r="T93" s="20" t="n"/>
      <c r="U93" s="20" t="n"/>
      <c r="V93" s="12" t="n"/>
      <c r="W93" s="12" t="inlineStr">
        <is>
          <t>对公收利息</t>
        </is>
      </c>
      <c r="X93" s="18">
        <f>IF($E93="","",IF(AND($B93&lt;&gt;"",ISNA(MATCH($B93,机构表,0))),"※机构不在【资料】里",IF(AND($D93&lt;&gt;"",ISNA(MATCH($D93,状态表,0))),"※状态不在【资料】里",IF(N($M93)&gt;N($L93),"※已还本金大于典当金额",IF(AND($I93&lt;&gt;"",$J93&lt;&gt;"",$J93&lt;$I93),"※到期日早于当票日期",IF(AND($H93&lt;&gt;"",COUNTIF($H$4:$H$403,$H93)&gt;1),"※当票号在本表里出现了不止一次",IF(AND($L93&lt;&gt;"",$E93=""),"※有金额没写客户","")))))))</f>
        <v/>
      </c>
    </row>
    <row r="94">
      <c r="A94" s="18">
        <f>IF($E94="","",COUNTA($E$4:$E94))</f>
        <v/>
      </c>
      <c r="B94" s="12" t="inlineStr">
        <is>
          <t>个人典当</t>
        </is>
      </c>
      <c r="C94" s="12" t="inlineStr">
        <is>
          <t>私人借款</t>
        </is>
      </c>
      <c r="D94" s="12" t="inlineStr">
        <is>
          <t>无法回款</t>
        </is>
      </c>
      <c r="E94" s="12" t="inlineStr">
        <is>
          <t>林瑞腾</t>
        </is>
      </c>
      <c r="F94" s="12" t="n"/>
      <c r="G94" s="12" t="n"/>
      <c r="H94" s="12" t="n"/>
      <c r="I94" s="19" t="n"/>
      <c r="J94" s="19" t="n">
        <v>45544</v>
      </c>
      <c r="K94" s="19" t="n">
        <v>45540</v>
      </c>
      <c r="L94" s="20" t="n">
        <v>20000</v>
      </c>
      <c r="M94" s="20" t="n"/>
      <c r="N94" s="22">
        <f>IF($E94="","",ROUND(N($L94)-N($M94),2))</f>
        <v/>
      </c>
      <c r="O94" s="21" t="n"/>
      <c r="P94" s="20" t="n"/>
      <c r="Q94" s="12" t="n"/>
      <c r="R94" s="19" t="n"/>
      <c r="S94" s="20" t="n"/>
      <c r="T94" s="20" t="n"/>
      <c r="U94" s="20" t="n"/>
      <c r="V94" s="12" t="n"/>
      <c r="W94" s="12" t="n"/>
      <c r="X94" s="18">
        <f>IF($E94="","",IF(AND($B94&lt;&gt;"",ISNA(MATCH($B94,机构表,0))),"※机构不在【资料】里",IF(AND($D94&lt;&gt;"",ISNA(MATCH($D94,状态表,0))),"※状态不在【资料】里",IF(N($M94)&gt;N($L94),"※已还本金大于典当金额",IF(AND($I94&lt;&gt;"",$J94&lt;&gt;"",$J94&lt;$I94),"※到期日早于当票日期",IF(AND($H94&lt;&gt;"",COUNTIF($H$4:$H$403,$H94)&gt;1),"※当票号在本表里出现了不止一次",IF(AND($L94&lt;&gt;"",$E94=""),"※有金额没写客户","")))))))</f>
        <v/>
      </c>
    </row>
    <row r="95">
      <c r="A95" s="18">
        <f>IF($E95="","",COUNTA($E$4:$E95))</f>
        <v/>
      </c>
      <c r="B95" s="12" t="inlineStr">
        <is>
          <t>个人典当</t>
        </is>
      </c>
      <c r="C95" s="12" t="inlineStr">
        <is>
          <t>黄金</t>
        </is>
      </c>
      <c r="D95" s="12" t="inlineStr">
        <is>
          <t>在当</t>
        </is>
      </c>
      <c r="E95" s="12" t="inlineStr">
        <is>
          <t>林文福</t>
        </is>
      </c>
      <c r="F95" s="12" t="n"/>
      <c r="G95" s="12" t="n"/>
      <c r="H95" s="12" t="n"/>
      <c r="I95" s="19" t="n"/>
      <c r="J95" s="19" t="n"/>
      <c r="K95" s="19" t="n">
        <v>46172</v>
      </c>
      <c r="L95" s="20" t="n">
        <v>85000</v>
      </c>
      <c r="M95" s="20" t="n"/>
      <c r="N95" s="22">
        <f>IF($E95="","",ROUND(N($L95)-N($M95),2))</f>
        <v/>
      </c>
      <c r="O95" s="21" t="n"/>
      <c r="P95" s="20" t="n">
        <v>1275</v>
      </c>
      <c r="Q95" s="12" t="inlineStr">
        <is>
          <t>29</t>
        </is>
      </c>
      <c r="R95" s="19" t="n">
        <v>46294</v>
      </c>
      <c r="S95" s="20" t="n"/>
      <c r="T95" s="20" t="n"/>
      <c r="U95" s="20" t="n"/>
      <c r="V95" s="12" t="n"/>
      <c r="W95" s="12" t="n"/>
      <c r="X95" s="18">
        <f>IF($E95="","",IF(AND($B95&lt;&gt;"",ISNA(MATCH($B95,机构表,0))),"※机构不在【资料】里",IF(AND($D95&lt;&gt;"",ISNA(MATCH($D95,状态表,0))),"※状态不在【资料】里",IF(N($M95)&gt;N($L95),"※已还本金大于典当金额",IF(AND($I95&lt;&gt;"",$J95&lt;&gt;"",$J95&lt;$I95),"※到期日早于当票日期",IF(AND($H95&lt;&gt;"",COUNTIF($H$4:$H$403,$H95)&gt;1),"※当票号在本表里出现了不止一次",IF(AND($L95&lt;&gt;"",$E95=""),"※有金额没写客户","")))))))</f>
        <v/>
      </c>
    </row>
    <row r="96">
      <c r="A96" s="18">
        <f>IF($E96="","",COUNTA($E$4:$E96))</f>
        <v/>
      </c>
      <c r="B96" s="12" t="inlineStr">
        <is>
          <t>个人典当</t>
        </is>
      </c>
      <c r="C96" s="12" t="inlineStr">
        <is>
          <t>黄金</t>
        </is>
      </c>
      <c r="D96" s="12" t="inlineStr">
        <is>
          <t>在当</t>
        </is>
      </c>
      <c r="E96" s="12" t="inlineStr">
        <is>
          <t>林文福</t>
        </is>
      </c>
      <c r="F96" s="12" t="n"/>
      <c r="G96" s="12" t="n"/>
      <c r="H96" s="12" t="n"/>
      <c r="I96" s="19" t="n"/>
      <c r="J96" s="19" t="n"/>
      <c r="K96" s="19" t="n">
        <v>46216</v>
      </c>
      <c r="L96" s="20" t="n">
        <v>55000</v>
      </c>
      <c r="M96" s="20" t="n"/>
      <c r="N96" s="22">
        <f>IF($E96="","",ROUND(N($L96)-N($M96),2))</f>
        <v/>
      </c>
      <c r="O96" s="21" t="n"/>
      <c r="P96" s="20" t="n">
        <v>825</v>
      </c>
      <c r="Q96" s="12" t="inlineStr">
        <is>
          <t>13</t>
        </is>
      </c>
      <c r="R96" s="19" t="n">
        <v>46278</v>
      </c>
      <c r="S96" s="20" t="n"/>
      <c r="T96" s="20" t="n"/>
      <c r="U96" s="20" t="n"/>
      <c r="V96" s="12" t="n"/>
      <c r="W96" s="12" t="n"/>
      <c r="X96" s="18">
        <f>IF($E96="","",IF(AND($B96&lt;&gt;"",ISNA(MATCH($B96,机构表,0))),"※机构不在【资料】里",IF(AND($D96&lt;&gt;"",ISNA(MATCH($D96,状态表,0))),"※状态不在【资料】里",IF(N($M96)&gt;N($L96),"※已还本金大于典当金额",IF(AND($I96&lt;&gt;"",$J96&lt;&gt;"",$J96&lt;$I96),"※到期日早于当票日期",IF(AND($H96&lt;&gt;"",COUNTIF($H$4:$H$403,$H96)&gt;1),"※当票号在本表里出现了不止一次",IF(AND($L96&lt;&gt;"",$E96=""),"※有金额没写客户","")))))))</f>
        <v/>
      </c>
    </row>
    <row r="97">
      <c r="A97" s="18">
        <f>IF($E97="","",COUNTA($E$4:$E97))</f>
        <v/>
      </c>
      <c r="B97" s="12" t="inlineStr">
        <is>
          <t>个人典当</t>
        </is>
      </c>
      <c r="C97" s="12" t="inlineStr">
        <is>
          <t>车子</t>
        </is>
      </c>
      <c r="D97" s="12" t="inlineStr">
        <is>
          <t>在当</t>
        </is>
      </c>
      <c r="E97" s="12" t="inlineStr">
        <is>
          <t>林文福</t>
        </is>
      </c>
      <c r="F97" s="12" t="n"/>
      <c r="G97" s="12" t="n"/>
      <c r="H97" s="12" t="n"/>
      <c r="I97" s="19" t="n"/>
      <c r="J97" s="19" t="n"/>
      <c r="K97" s="19" t="n">
        <v>46248</v>
      </c>
      <c r="L97" s="20" t="n">
        <v>80000</v>
      </c>
      <c r="M97" s="20" t="n"/>
      <c r="N97" s="22">
        <f>IF($E97="","",ROUND(N($L97)-N($M97),2))</f>
        <v/>
      </c>
      <c r="O97" s="21" t="n"/>
      <c r="P97" s="20" t="n">
        <v>1700</v>
      </c>
      <c r="Q97" s="12" t="inlineStr">
        <is>
          <t>13</t>
        </is>
      </c>
      <c r="R97" s="19" t="n">
        <v>46278</v>
      </c>
      <c r="S97" s="20" t="n"/>
      <c r="T97" s="20" t="n"/>
      <c r="U97" s="20" t="n"/>
      <c r="V97" s="12" t="n"/>
      <c r="W97" s="12" t="n"/>
      <c r="X97" s="18">
        <f>IF($E97="","",IF(AND($B97&lt;&gt;"",ISNA(MATCH($B97,机构表,0))),"※机构不在【资料】里",IF(AND($D97&lt;&gt;"",ISNA(MATCH($D97,状态表,0))),"※状态不在【资料】里",IF(N($M97)&gt;N($L97),"※已还本金大于典当金额",IF(AND($I97&lt;&gt;"",$J97&lt;&gt;"",$J97&lt;$I97),"※到期日早于当票日期",IF(AND($H97&lt;&gt;"",COUNTIF($H$4:$H$403,$H97)&gt;1),"※当票号在本表里出现了不止一次",IF(AND($L97&lt;&gt;"",$E97=""),"※有金额没写客户","")))))))</f>
        <v/>
      </c>
    </row>
    <row r="98">
      <c r="A98" s="18">
        <f>IF($E98="","",COUNTA($E$4:$E98))</f>
        <v/>
      </c>
      <c r="B98" s="12" t="inlineStr">
        <is>
          <t>个人典当</t>
        </is>
      </c>
      <c r="C98" s="12" t="inlineStr">
        <is>
          <t>私人借款</t>
        </is>
      </c>
      <c r="D98" s="12" t="inlineStr">
        <is>
          <t>在当</t>
        </is>
      </c>
      <c r="E98" s="12" t="inlineStr">
        <is>
          <t>林文维</t>
        </is>
      </c>
      <c r="F98" s="12" t="n"/>
      <c r="G98" s="12" t="n"/>
      <c r="H98" s="12" t="n"/>
      <c r="I98" s="19" t="n"/>
      <c r="J98" s="19" t="n">
        <v>46211</v>
      </c>
      <c r="K98" s="19" t="n">
        <v>46030</v>
      </c>
      <c r="L98" s="20" t="n">
        <v>20000</v>
      </c>
      <c r="M98" s="20" t="n"/>
      <c r="N98" s="22">
        <f>IF($E98="","",ROUND(N($L98)-N($M98),2))</f>
        <v/>
      </c>
      <c r="O98" s="21" t="n"/>
      <c r="P98" s="20" t="n">
        <v>300</v>
      </c>
      <c r="Q98" s="12" t="inlineStr">
        <is>
          <t>8</t>
        </is>
      </c>
      <c r="R98" s="19" t="n">
        <v>46273</v>
      </c>
      <c r="S98" s="20" t="n"/>
      <c r="T98" s="20" t="n"/>
      <c r="U98" s="20" t="n"/>
      <c r="V98" s="12" t="n"/>
      <c r="W98" s="12" t="n"/>
      <c r="X98" s="18">
        <f>IF($E98="","",IF(AND($B98&lt;&gt;"",ISNA(MATCH($B98,机构表,0))),"※机构不在【资料】里",IF(AND($D98&lt;&gt;"",ISNA(MATCH($D98,状态表,0))),"※状态不在【资料】里",IF(N($M98)&gt;N($L98),"※已还本金大于典当金额",IF(AND($I98&lt;&gt;"",$J98&lt;&gt;"",$J98&lt;$I98),"※到期日早于当票日期",IF(AND($H98&lt;&gt;"",COUNTIF($H$4:$H$403,$H98)&gt;1),"※当票号在本表里出现了不止一次",IF(AND($L98&lt;&gt;"",$E98=""),"※有金额没写客户","")))))))</f>
        <v/>
      </c>
    </row>
    <row r="99">
      <c r="A99" s="18">
        <f>IF($E99="","",COUNTA($E$4:$E99))</f>
        <v/>
      </c>
      <c r="B99" s="12" t="inlineStr">
        <is>
          <t>金辉典当</t>
        </is>
      </c>
      <c r="C99" s="12" t="inlineStr">
        <is>
          <t>房产</t>
        </is>
      </c>
      <c r="D99" s="12" t="inlineStr">
        <is>
          <t>起诉还款</t>
        </is>
      </c>
      <c r="E99" s="12" t="inlineStr">
        <is>
          <t>林晓霞</t>
        </is>
      </c>
      <c r="F99" s="12" t="n"/>
      <c r="G99" s="12" t="n"/>
      <c r="H99" s="12" t="n"/>
      <c r="I99" s="19" t="n">
        <v>45132</v>
      </c>
      <c r="J99" s="19" t="n"/>
      <c r="K99" s="19" t="n">
        <v>45255</v>
      </c>
      <c r="L99" s="20" t="n">
        <v>60000</v>
      </c>
      <c r="M99" s="20" t="n"/>
      <c r="N99" s="22">
        <f>IF($E99="","",ROUND(N($L99)-N($M99),2))</f>
        <v/>
      </c>
      <c r="O99" s="21" t="n">
        <v>0.03</v>
      </c>
      <c r="P99" s="20" t="n">
        <v>1800</v>
      </c>
      <c r="Q99" s="12" t="inlineStr">
        <is>
          <t>22</t>
        </is>
      </c>
      <c r="R99" s="19" t="n">
        <v>45404</v>
      </c>
      <c r="S99" s="20" t="n"/>
      <c r="T99" s="20" t="n"/>
      <c r="U99" s="20" t="n">
        <v>1500</v>
      </c>
      <c r="V99" s="12" t="inlineStr">
        <is>
          <t>先息</t>
        </is>
      </c>
      <c r="W99" s="12" t="n"/>
      <c r="X99" s="18">
        <f>IF($E99="","",IF(AND($B99&lt;&gt;"",ISNA(MATCH($B99,机构表,0))),"※机构不在【资料】里",IF(AND($D99&lt;&gt;"",ISNA(MATCH($D99,状态表,0))),"※状态不在【资料】里",IF(N($M99)&gt;N($L99),"※已还本金大于典当金额",IF(AND($I99&lt;&gt;"",$J99&lt;&gt;"",$J99&lt;$I99),"※到期日早于当票日期",IF(AND($H99&lt;&gt;"",COUNTIF($H$4:$H$403,$H99)&gt;1),"※当票号在本表里出现了不止一次",IF(AND($L99&lt;&gt;"",$E99=""),"※有金额没写客户","")))))))</f>
        <v/>
      </c>
    </row>
    <row r="100">
      <c r="A100" s="18">
        <f>IF($E100="","",COUNTA($E$4:$E100))</f>
        <v/>
      </c>
      <c r="B100" s="12" t="inlineStr">
        <is>
          <t>个人典当</t>
        </is>
      </c>
      <c r="C100" s="12" t="inlineStr">
        <is>
          <t>黄金</t>
        </is>
      </c>
      <c r="D100" s="12" t="inlineStr">
        <is>
          <t>在当</t>
        </is>
      </c>
      <c r="E100" s="12" t="inlineStr">
        <is>
          <t>林燕</t>
        </is>
      </c>
      <c r="F100" s="12" t="n"/>
      <c r="G100" s="12" t="n"/>
      <c r="H100" s="12" t="n"/>
      <c r="I100" s="19" t="n"/>
      <c r="J100" s="19" t="n">
        <v>45682</v>
      </c>
      <c r="K100" s="19" t="n">
        <v>45653</v>
      </c>
      <c r="L100" s="20" t="n">
        <v>3500</v>
      </c>
      <c r="M100" s="20" t="n"/>
      <c r="N100" s="22">
        <f>IF($E100="","",ROUND(N($L100)-N($M100),2))</f>
        <v/>
      </c>
      <c r="O100" s="21" t="n"/>
      <c r="P100" s="20" t="n">
        <v>100</v>
      </c>
      <c r="Q100" s="12" t="inlineStr">
        <is>
          <t>24</t>
        </is>
      </c>
      <c r="R100" s="19" t="n">
        <v>46289</v>
      </c>
      <c r="S100" s="20" t="n"/>
      <c r="T100" s="20" t="n"/>
      <c r="U100" s="20" t="n"/>
      <c r="V100" s="12" t="n"/>
      <c r="W100" s="12" t="n"/>
      <c r="X100" s="18">
        <f>IF($E100="","",IF(AND($B100&lt;&gt;"",ISNA(MATCH($B100,机构表,0))),"※机构不在【资料】里",IF(AND($D100&lt;&gt;"",ISNA(MATCH($D100,状态表,0))),"※状态不在【资料】里",IF(N($M100)&gt;N($L100),"※已还本金大于典当金额",IF(AND($I100&lt;&gt;"",$J100&lt;&gt;"",$J100&lt;$I100),"※到期日早于当票日期",IF(AND($H100&lt;&gt;"",COUNTIF($H$4:$H$403,$H100)&gt;1),"※当票号在本表里出现了不止一次",IF(AND($L100&lt;&gt;"",$E100=""),"※有金额没写客户","")))))))</f>
        <v/>
      </c>
    </row>
    <row r="101">
      <c r="A101" s="18">
        <f>IF($E101="","",COUNTA($E$4:$E101))</f>
        <v/>
      </c>
      <c r="B101" s="12" t="inlineStr">
        <is>
          <t>个人典当</t>
        </is>
      </c>
      <c r="C101" s="12" t="inlineStr">
        <is>
          <t>股票配资</t>
        </is>
      </c>
      <c r="D101" s="12" t="n"/>
      <c r="E101" s="12" t="inlineStr">
        <is>
          <t>林总账户</t>
        </is>
      </c>
      <c r="F101" s="12" t="n"/>
      <c r="G101" s="12" t="n"/>
      <c r="H101" s="12" t="n"/>
      <c r="I101" s="19" t="n"/>
      <c r="J101" s="19" t="n">
        <v>46148</v>
      </c>
      <c r="K101" s="19" t="n">
        <v>46119</v>
      </c>
      <c r="L101" s="20" t="n">
        <v>500000</v>
      </c>
      <c r="M101" s="20" t="n"/>
      <c r="N101" s="22">
        <f>IF($E101="","",ROUND(N($L101)-N($M101),2))</f>
        <v/>
      </c>
      <c r="O101" s="21" t="n"/>
      <c r="P101" s="20" t="n">
        <v>4500</v>
      </c>
      <c r="Q101" s="12" t="inlineStr">
        <is>
          <t>6</t>
        </is>
      </c>
      <c r="R101" s="19" t="n">
        <v>46209</v>
      </c>
      <c r="S101" s="20" t="n"/>
      <c r="T101" s="20" t="n"/>
      <c r="U101" s="20" t="n"/>
      <c r="V101" s="12" t="n"/>
      <c r="W101" s="12" t="n"/>
      <c r="X101" s="18">
        <f>IF($E101="","",IF(AND($B101&lt;&gt;"",ISNA(MATCH($B101,机构表,0))),"※机构不在【资料】里",IF(AND($D101&lt;&gt;"",ISNA(MATCH($D101,状态表,0))),"※状态不在【资料】里",IF(N($M101)&gt;N($L101),"※已还本金大于典当金额",IF(AND($I101&lt;&gt;"",$J101&lt;&gt;"",$J101&lt;$I101),"※到期日早于当票日期",IF(AND($H101&lt;&gt;"",COUNTIF($H$4:$H$403,$H101)&gt;1),"※当票号在本表里出现了不止一次",IF(AND($L101&lt;&gt;"",$E101=""),"※有金额没写客户","")))))))</f>
        <v/>
      </c>
    </row>
    <row r="102">
      <c r="A102" s="18">
        <f>IF($E102="","",COUNTA($E$4:$E102))</f>
        <v/>
      </c>
      <c r="B102" s="12" t="inlineStr">
        <is>
          <t>个人典当</t>
        </is>
      </c>
      <c r="C102" s="12" t="inlineStr">
        <is>
          <t>私人借款</t>
        </is>
      </c>
      <c r="D102" s="12" t="inlineStr">
        <is>
          <t>无法回款</t>
        </is>
      </c>
      <c r="E102" s="12" t="inlineStr">
        <is>
          <t>刘署明</t>
        </is>
      </c>
      <c r="F102" s="12" t="n"/>
      <c r="G102" s="12" t="n"/>
      <c r="H102" s="12" t="n"/>
      <c r="I102" s="19" t="n"/>
      <c r="J102" s="19" t="n"/>
      <c r="K102" s="19" t="n">
        <v>44504</v>
      </c>
      <c r="L102" s="20" t="n">
        <v>125000</v>
      </c>
      <c r="M102" s="20" t="n"/>
      <c r="N102" s="22">
        <f>IF($E102="","",ROUND(N($L102)-N($M102),2))</f>
        <v/>
      </c>
      <c r="O102" s="21" t="n"/>
      <c r="P102" s="20" t="n"/>
      <c r="Q102" s="12" t="n"/>
      <c r="R102" s="19" t="n"/>
      <c r="S102" s="20" t="n"/>
      <c r="T102" s="20" t="n"/>
      <c r="U102" s="20" t="n"/>
      <c r="V102" s="12" t="n"/>
      <c r="W102" s="12" t="inlineStr">
        <is>
          <t>无法回款</t>
        </is>
      </c>
      <c r="X102" s="18">
        <f>IF($E102="","",IF(AND($B102&lt;&gt;"",ISNA(MATCH($B102,机构表,0))),"※机构不在【资料】里",IF(AND($D102&lt;&gt;"",ISNA(MATCH($D102,状态表,0))),"※状态不在【资料】里",IF(N($M102)&gt;N($L102),"※已还本金大于典当金额",IF(AND($I102&lt;&gt;"",$J102&lt;&gt;"",$J102&lt;$I102),"※到期日早于当票日期",IF(AND($H102&lt;&gt;"",COUNTIF($H$4:$H$403,$H102)&gt;1),"※当票号在本表里出现了不止一次",IF(AND($L102&lt;&gt;"",$E102=""),"※有金额没写客户","")))))))</f>
        <v/>
      </c>
    </row>
    <row r="103">
      <c r="A103" s="18">
        <f>IF($E103="","",COUNTA($E$4:$E103))</f>
        <v/>
      </c>
      <c r="B103" s="12" t="inlineStr">
        <is>
          <t>个人典当</t>
        </is>
      </c>
      <c r="C103" s="12" t="inlineStr">
        <is>
          <t>私人借款</t>
        </is>
      </c>
      <c r="D103" s="12" t="inlineStr">
        <is>
          <t>无法回款</t>
        </is>
      </c>
      <c r="E103" s="12" t="inlineStr">
        <is>
          <t>刘万富</t>
        </is>
      </c>
      <c r="F103" s="12" t="n"/>
      <c r="G103" s="12" t="n"/>
      <c r="H103" s="12" t="n"/>
      <c r="I103" s="19" t="n"/>
      <c r="J103" s="19" t="n"/>
      <c r="K103" s="19" t="n">
        <v>45070</v>
      </c>
      <c r="L103" s="20" t="n">
        <v>150000</v>
      </c>
      <c r="M103" s="20" t="n"/>
      <c r="N103" s="22">
        <f>IF($E103="","",ROUND(N($L103)-N($M103),2))</f>
        <v/>
      </c>
      <c r="O103" s="21" t="n"/>
      <c r="P103" s="20" t="n"/>
      <c r="Q103" s="12" t="n"/>
      <c r="R103" s="19" t="n"/>
      <c r="S103" s="20" t="n"/>
      <c r="T103" s="20" t="n"/>
      <c r="U103" s="20" t="n"/>
      <c r="V103" s="12" t="n"/>
      <c r="W103" s="12" t="inlineStr">
        <is>
          <t>无法回款</t>
        </is>
      </c>
      <c r="X103" s="18">
        <f>IF($E103="","",IF(AND($B103&lt;&gt;"",ISNA(MATCH($B103,机构表,0))),"※机构不在【资料】里",IF(AND($D103&lt;&gt;"",ISNA(MATCH($D103,状态表,0))),"※状态不在【资料】里",IF(N($M103)&gt;N($L103),"※已还本金大于典当金额",IF(AND($I103&lt;&gt;"",$J103&lt;&gt;"",$J103&lt;$I103),"※到期日早于当票日期",IF(AND($H103&lt;&gt;"",COUNTIF($H$4:$H$403,$H103)&gt;1),"※当票号在本表里出现了不止一次",IF(AND($L103&lt;&gt;"",$E103=""),"※有金额没写客户","")))))))</f>
        <v/>
      </c>
    </row>
    <row r="104">
      <c r="A104" s="18">
        <f>IF($E104="","",COUNTA($E$4:$E104))</f>
        <v/>
      </c>
      <c r="B104" s="12" t="inlineStr">
        <is>
          <t>个人典当</t>
        </is>
      </c>
      <c r="C104" s="12" t="inlineStr">
        <is>
          <t>私人借款</t>
        </is>
      </c>
      <c r="D104" s="12" t="inlineStr">
        <is>
          <t>无法回款</t>
        </is>
      </c>
      <c r="E104" s="12" t="inlineStr">
        <is>
          <t>刘万富</t>
        </is>
      </c>
      <c r="F104" s="12" t="n"/>
      <c r="G104" s="12" t="n"/>
      <c r="H104" s="12" t="n"/>
      <c r="I104" s="19" t="n"/>
      <c r="J104" s="19" t="n"/>
      <c r="K104" s="19" t="n">
        <v>45534</v>
      </c>
      <c r="L104" s="20" t="n">
        <v>250000</v>
      </c>
      <c r="M104" s="20" t="n"/>
      <c r="N104" s="22">
        <f>IF($E104="","",ROUND(N($L104)-N($M104),2))</f>
        <v/>
      </c>
      <c r="O104" s="21" t="n"/>
      <c r="P104" s="20" t="n"/>
      <c r="Q104" s="12" t="n"/>
      <c r="R104" s="19" t="n"/>
      <c r="S104" s="20" t="n"/>
      <c r="T104" s="20" t="n"/>
      <c r="U104" s="20" t="n"/>
      <c r="V104" s="12" t="n"/>
      <c r="W104" s="12" t="inlineStr">
        <is>
          <t>无法回款</t>
        </is>
      </c>
      <c r="X104" s="18">
        <f>IF($E104="","",IF(AND($B104&lt;&gt;"",ISNA(MATCH($B104,机构表,0))),"※机构不在【资料】里",IF(AND($D104&lt;&gt;"",ISNA(MATCH($D104,状态表,0))),"※状态不在【资料】里",IF(N($M104)&gt;N($L104),"※已还本金大于典当金额",IF(AND($I104&lt;&gt;"",$J104&lt;&gt;"",$J104&lt;$I104),"※到期日早于当票日期",IF(AND($H104&lt;&gt;"",COUNTIF($H$4:$H$403,$H104)&gt;1),"※当票号在本表里出现了不止一次",IF(AND($L104&lt;&gt;"",$E104=""),"※有金额没写客户","")))))))</f>
        <v/>
      </c>
    </row>
    <row r="105">
      <c r="A105" s="18">
        <f>IF($E105="","",COUNTA($E$4:$E105))</f>
        <v/>
      </c>
      <c r="B105" s="12" t="inlineStr">
        <is>
          <t>个人典当</t>
        </is>
      </c>
      <c r="C105" s="12" t="inlineStr">
        <is>
          <t>押车</t>
        </is>
      </c>
      <c r="D105" s="12" t="inlineStr">
        <is>
          <t>在当</t>
        </is>
      </c>
      <c r="E105" s="12" t="inlineStr">
        <is>
          <t>刘振祥</t>
        </is>
      </c>
      <c r="F105" s="12" t="n"/>
      <c r="G105" s="12" t="n"/>
      <c r="H105" s="12" t="n"/>
      <c r="I105" s="19" t="n"/>
      <c r="J105" s="19" t="n">
        <v>46317</v>
      </c>
      <c r="K105" s="19" t="n">
        <v>46227</v>
      </c>
      <c r="L105" s="20" t="n">
        <v>100000</v>
      </c>
      <c r="M105" s="20" t="n"/>
      <c r="N105" s="22">
        <f>IF($E105="","",ROUND(N($L105)-N($M105),2))</f>
        <v/>
      </c>
      <c r="O105" s="21" t="n"/>
      <c r="P105" s="20" t="n">
        <v>3000</v>
      </c>
      <c r="Q105" s="12" t="inlineStr">
        <is>
          <t>23</t>
        </is>
      </c>
      <c r="R105" s="19" t="n">
        <v>46288</v>
      </c>
      <c r="S105" s="20" t="n"/>
      <c r="T105" s="20" t="n"/>
      <c r="U105" s="20" t="n"/>
      <c r="V105" s="12" t="n"/>
      <c r="W105" s="12" t="n"/>
      <c r="X105" s="18">
        <f>IF($E105="","",IF(AND($B105&lt;&gt;"",ISNA(MATCH($B105,机构表,0))),"※机构不在【资料】里",IF(AND($D105&lt;&gt;"",ISNA(MATCH($D105,状态表,0))),"※状态不在【资料】里",IF(N($M105)&gt;N($L105),"※已还本金大于典当金额",IF(AND($I105&lt;&gt;"",$J105&lt;&gt;"",$J105&lt;$I105),"※到期日早于当票日期",IF(AND($H105&lt;&gt;"",COUNTIF($H$4:$H$403,$H105)&gt;1),"※当票号在本表里出现了不止一次",IF(AND($L105&lt;&gt;"",$E105=""),"※有金额没写客户","")))))))</f>
        <v/>
      </c>
    </row>
    <row r="106">
      <c r="A106" s="18">
        <f>IF($E106="","",COUNTA($E$4:$E106))</f>
        <v/>
      </c>
      <c r="B106" s="12" t="inlineStr">
        <is>
          <t>个人典当</t>
        </is>
      </c>
      <c r="C106" s="12" t="inlineStr">
        <is>
          <t>押车</t>
        </is>
      </c>
      <c r="D106" s="12" t="inlineStr">
        <is>
          <t>在当</t>
        </is>
      </c>
      <c r="E106" s="12" t="inlineStr">
        <is>
          <t>陆林广</t>
        </is>
      </c>
      <c r="F106" s="12" t="n"/>
      <c r="G106" s="12" t="n"/>
      <c r="H106" s="12" t="n"/>
      <c r="I106" s="19" t="n"/>
      <c r="J106" s="19" t="n">
        <v>45993</v>
      </c>
      <c r="K106" s="19" t="n">
        <v>45964</v>
      </c>
      <c r="L106" s="20" t="n">
        <v>70000</v>
      </c>
      <c r="M106" s="20" t="n"/>
      <c r="N106" s="22">
        <f>IF($E106="","",ROUND(N($L106)-N($M106),2))</f>
        <v/>
      </c>
      <c r="O106" s="21" t="n"/>
      <c r="P106" s="20" t="n">
        <v>2250</v>
      </c>
      <c r="Q106" s="12" t="inlineStr">
        <is>
          <t>3</t>
        </is>
      </c>
      <c r="R106" s="19" t="n">
        <v>46268</v>
      </c>
      <c r="S106" s="20" t="n"/>
      <c r="T106" s="20" t="n"/>
      <c r="U106" s="20" t="n"/>
      <c r="V106" s="12" t="n"/>
      <c r="W106" s="12" t="n"/>
      <c r="X106" s="18">
        <f>IF($E106="","",IF(AND($B106&lt;&gt;"",ISNA(MATCH($B106,机构表,0))),"※机构不在【资料】里",IF(AND($D106&lt;&gt;"",ISNA(MATCH($D106,状态表,0))),"※状态不在【资料】里",IF(N($M106)&gt;N($L106),"※已还本金大于典当金额",IF(AND($I106&lt;&gt;"",$J106&lt;&gt;"",$J106&lt;$I106),"※到期日早于当票日期",IF(AND($H106&lt;&gt;"",COUNTIF($H$4:$H$403,$H106)&gt;1),"※当票号在本表里出现了不止一次",IF(AND($L106&lt;&gt;"",$E106=""),"※有金额没写客户","")))))))</f>
        <v/>
      </c>
    </row>
    <row r="107">
      <c r="A107" s="18">
        <f>IF($E107="","",COUNTA($E$4:$E107))</f>
        <v/>
      </c>
      <c r="B107" s="12" t="inlineStr">
        <is>
          <t>个人典当</t>
        </is>
      </c>
      <c r="C107" s="12" t="inlineStr">
        <is>
          <t>私人借款</t>
        </is>
      </c>
      <c r="D107" s="12" t="inlineStr">
        <is>
          <t>无法回款</t>
        </is>
      </c>
      <c r="E107" s="12" t="inlineStr">
        <is>
          <t>罗如彬</t>
        </is>
      </c>
      <c r="F107" s="12" t="n"/>
      <c r="G107" s="12" t="n"/>
      <c r="H107" s="12" t="n"/>
      <c r="I107" s="19" t="n"/>
      <c r="J107" s="19" t="n"/>
      <c r="K107" s="19" t="n">
        <v>43924</v>
      </c>
      <c r="L107" s="20" t="n">
        <v>30000</v>
      </c>
      <c r="M107" s="20" t="n"/>
      <c r="N107" s="22">
        <f>IF($E107="","",ROUND(N($L107)-N($M107),2))</f>
        <v/>
      </c>
      <c r="O107" s="21" t="n"/>
      <c r="P107" s="20" t="n"/>
      <c r="Q107" s="12" t="n"/>
      <c r="R107" s="19" t="n"/>
      <c r="S107" s="20" t="n"/>
      <c r="T107" s="20" t="n"/>
      <c r="U107" s="20" t="n"/>
      <c r="V107" s="12" t="n"/>
      <c r="W107" s="12" t="inlineStr">
        <is>
          <t>无法回款</t>
        </is>
      </c>
      <c r="X107" s="18">
        <f>IF($E107="","",IF(AND($B107&lt;&gt;"",ISNA(MATCH($B107,机构表,0))),"※机构不在【资料】里",IF(AND($D107&lt;&gt;"",ISNA(MATCH($D107,状态表,0))),"※状态不在【资料】里",IF(N($M107)&gt;N($L107),"※已还本金大于典当金额",IF(AND($I107&lt;&gt;"",$J107&lt;&gt;"",$J107&lt;$I107),"※到期日早于当票日期",IF(AND($H107&lt;&gt;"",COUNTIF($H$4:$H$403,$H107)&gt;1),"※当票号在本表里出现了不止一次",IF(AND($L107&lt;&gt;"",$E107=""),"※有金额没写客户","")))))))</f>
        <v/>
      </c>
    </row>
    <row r="108">
      <c r="A108" s="18">
        <f>IF($E108="","",COUNTA($E$4:$E108))</f>
        <v/>
      </c>
      <c r="B108" s="12" t="inlineStr">
        <is>
          <t>金辉典当</t>
        </is>
      </c>
      <c r="C108" s="12" t="inlineStr">
        <is>
          <t>房产</t>
        </is>
      </c>
      <c r="D108" s="12" t="inlineStr">
        <is>
          <t>在当</t>
        </is>
      </c>
      <c r="E108" s="12" t="inlineStr">
        <is>
          <t>罗淑珍</t>
        </is>
      </c>
      <c r="F108" s="12" t="n"/>
      <c r="G108" s="12" t="n"/>
      <c r="H108" s="12" t="inlineStr">
        <is>
          <t>3519121360</t>
        </is>
      </c>
      <c r="I108" s="19" t="n">
        <v>44485</v>
      </c>
      <c r="J108" s="19" t="n"/>
      <c r="K108" s="19" t="n">
        <v>45250</v>
      </c>
      <c r="L108" s="20" t="n">
        <v>40000</v>
      </c>
      <c r="M108" s="20" t="n"/>
      <c r="N108" s="22">
        <f>IF($E108="","",ROUND(N($L108)-N($M108),2))</f>
        <v/>
      </c>
      <c r="O108" s="21" t="n">
        <v>0.025</v>
      </c>
      <c r="P108" s="20" t="n">
        <v>1000</v>
      </c>
      <c r="Q108" s="12" t="inlineStr">
        <is>
          <t>14</t>
        </is>
      </c>
      <c r="R108" s="19" t="n">
        <v>46279</v>
      </c>
      <c r="S108" s="20" t="n"/>
      <c r="T108" s="20" t="n"/>
      <c r="U108" s="20" t="n">
        <v>1250</v>
      </c>
      <c r="V108" s="12" t="inlineStr">
        <is>
          <t>先息</t>
        </is>
      </c>
      <c r="W108" s="12" t="n"/>
      <c r="X108" s="18">
        <f>IF($E108="","",IF(AND($B108&lt;&gt;"",ISNA(MATCH($B108,机构表,0))),"※机构不在【资料】里",IF(AND($D108&lt;&gt;"",ISNA(MATCH($D108,状态表,0))),"※状态不在【资料】里",IF(N($M108)&gt;N($L108),"※已还本金大于典当金额",IF(AND($I108&lt;&gt;"",$J108&lt;&gt;"",$J108&lt;$I108),"※到期日早于当票日期",IF(AND($H108&lt;&gt;"",COUNTIF($H$4:$H$403,$H108)&gt;1),"※当票号在本表里出现了不止一次",IF(AND($L108&lt;&gt;"",$E108=""),"※有金额没写客户","")))))))</f>
        <v/>
      </c>
    </row>
    <row r="109">
      <c r="A109" s="18">
        <f>IF($E109="","",COUNTA($E$4:$E109))</f>
        <v/>
      </c>
      <c r="B109" s="12" t="inlineStr">
        <is>
          <t>个人典当</t>
        </is>
      </c>
      <c r="C109" s="12" t="inlineStr">
        <is>
          <t>私人借款</t>
        </is>
      </c>
      <c r="D109" s="12" t="inlineStr">
        <is>
          <t>在当</t>
        </is>
      </c>
      <c r="E109" s="12" t="inlineStr">
        <is>
          <t>罗淑珍</t>
        </is>
      </c>
      <c r="F109" s="12" t="n"/>
      <c r="G109" s="12" t="n"/>
      <c r="H109" s="12" t="n"/>
      <c r="I109" s="19" t="n"/>
      <c r="J109" s="19" t="n"/>
      <c r="K109" s="19" t="n">
        <v>44362</v>
      </c>
      <c r="L109" s="20" t="n">
        <v>5000</v>
      </c>
      <c r="M109" s="20" t="n"/>
      <c r="N109" s="22">
        <f>IF($E109="","",ROUND(N($L109)-N($M109),2))</f>
        <v/>
      </c>
      <c r="O109" s="21" t="n"/>
      <c r="P109" s="20" t="n">
        <v>125</v>
      </c>
      <c r="Q109" s="12" t="inlineStr">
        <is>
          <t>14</t>
        </is>
      </c>
      <c r="R109" s="19" t="n">
        <v>46126</v>
      </c>
      <c r="S109" s="20" t="n"/>
      <c r="T109" s="20" t="n"/>
      <c r="U109" s="20" t="n"/>
      <c r="V109" s="12" t="n"/>
      <c r="W109" s="12" t="n"/>
      <c r="X109" s="18">
        <f>IF($E109="","",IF(AND($B109&lt;&gt;"",ISNA(MATCH($B109,机构表,0))),"※机构不在【资料】里",IF(AND($D109&lt;&gt;"",ISNA(MATCH($D109,状态表,0))),"※状态不在【资料】里",IF(N($M109)&gt;N($L109),"※已还本金大于典当金额",IF(AND($I109&lt;&gt;"",$J109&lt;&gt;"",$J109&lt;$I109),"※到期日早于当票日期",IF(AND($H109&lt;&gt;"",COUNTIF($H$4:$H$403,$H109)&gt;1),"※当票号在本表里出现了不止一次",IF(AND($L109&lt;&gt;"",$E109=""),"※有金额没写客户","")))))))</f>
        <v/>
      </c>
    </row>
    <row r="110">
      <c r="A110" s="18">
        <f>IF($E110="","",COUNTA($E$4:$E110))</f>
        <v/>
      </c>
      <c r="B110" s="12" t="inlineStr">
        <is>
          <t>金辉典当</t>
        </is>
      </c>
      <c r="C110" s="12" t="inlineStr">
        <is>
          <t>房产</t>
        </is>
      </c>
      <c r="D110" s="12" t="inlineStr">
        <is>
          <t>在当</t>
        </is>
      </c>
      <c r="E110" s="12" t="inlineStr">
        <is>
          <t>马昱</t>
        </is>
      </c>
      <c r="F110" s="12" t="n"/>
      <c r="G110" s="12" t="n"/>
      <c r="H110" s="12" t="inlineStr">
        <is>
          <t>3519260517</t>
        </is>
      </c>
      <c r="I110" s="19" t="n">
        <v>46066</v>
      </c>
      <c r="J110" s="19" t="n">
        <v>46244</v>
      </c>
      <c r="K110" s="19" t="n"/>
      <c r="L110" s="20" t="n">
        <v>500000</v>
      </c>
      <c r="M110" s="20" t="n"/>
      <c r="N110" s="22">
        <f>IF($E110="","",ROUND(N($L110)-N($M110),2))</f>
        <v/>
      </c>
      <c r="O110" s="21" t="n">
        <v>0.025</v>
      </c>
      <c r="P110" s="20" t="n">
        <v>12500</v>
      </c>
      <c r="Q110" s="12" t="inlineStr">
        <is>
          <t>13</t>
        </is>
      </c>
      <c r="R110" s="19" t="n">
        <v>46278</v>
      </c>
      <c r="S110" s="20" t="n"/>
      <c r="T110" s="20" t="n"/>
      <c r="U110" s="20" t="n"/>
      <c r="V110" s="12" t="n"/>
      <c r="W110" s="12" t="inlineStr">
        <is>
          <t>对公收利息</t>
        </is>
      </c>
      <c r="X110" s="18">
        <f>IF($E110="","",IF(AND($B110&lt;&gt;"",ISNA(MATCH($B110,机构表,0))),"※机构不在【资料】里",IF(AND($D110&lt;&gt;"",ISNA(MATCH($D110,状态表,0))),"※状态不在【资料】里",IF(N($M110)&gt;N($L110),"※已还本金大于典当金额",IF(AND($I110&lt;&gt;"",$J110&lt;&gt;"",$J110&lt;$I110),"※到期日早于当票日期",IF(AND($H110&lt;&gt;"",COUNTIF($H$4:$H$403,$H110)&gt;1),"※当票号在本表里出现了不止一次",IF(AND($L110&lt;&gt;"",$E110=""),"※有金额没写客户","")))))))</f>
        <v/>
      </c>
    </row>
    <row r="111">
      <c r="A111" s="18">
        <f>IF($E111="","",COUNTA($E$4:$E111))</f>
        <v/>
      </c>
      <c r="B111" s="12" t="inlineStr">
        <is>
          <t>金辉典当</t>
        </is>
      </c>
      <c r="C111" s="12" t="inlineStr">
        <is>
          <t>车子</t>
        </is>
      </c>
      <c r="D111" s="12" t="inlineStr">
        <is>
          <t>在当</t>
        </is>
      </c>
      <c r="E111" s="12" t="inlineStr">
        <is>
          <t>蒙媛媛</t>
        </is>
      </c>
      <c r="F111" s="12" t="n"/>
      <c r="G111" s="12" t="n"/>
      <c r="H111" s="12" t="inlineStr">
        <is>
          <t>3524019237</t>
        </is>
      </c>
      <c r="I111" s="19" t="n">
        <v>46210</v>
      </c>
      <c r="J111" s="19" t="n">
        <v>46389</v>
      </c>
      <c r="K111" s="19" t="n"/>
      <c r="L111" s="20" t="n">
        <v>43750.01</v>
      </c>
      <c r="M111" s="20" t="n"/>
      <c r="N111" s="22">
        <f>IF($E111="","",ROUND(N($L111)-N($M111),2))</f>
        <v/>
      </c>
      <c r="O111" s="21" t="n">
        <v>0.025</v>
      </c>
      <c r="P111" s="20" t="n">
        <v>1250</v>
      </c>
      <c r="Q111" s="12" t="inlineStr">
        <is>
          <t>6</t>
        </is>
      </c>
      <c r="R111" s="19" t="n">
        <v>46271</v>
      </c>
      <c r="S111" s="20" t="n"/>
      <c r="T111" s="20" t="n"/>
      <c r="U111" s="20" t="n"/>
      <c r="V111" s="12" t="n"/>
      <c r="W111" s="12" t="n"/>
      <c r="X111" s="18">
        <f>IF($E111="","",IF(AND($B111&lt;&gt;"",ISNA(MATCH($B111,机构表,0))),"※机构不在【资料】里",IF(AND($D111&lt;&gt;"",ISNA(MATCH($D111,状态表,0))),"※状态不在【资料】里",IF(N($M111)&gt;N($L111),"※已还本金大于典当金额",IF(AND($I111&lt;&gt;"",$J111&lt;&gt;"",$J111&lt;$I111),"※到期日早于当票日期",IF(AND($H111&lt;&gt;"",COUNTIF($H$4:$H$403,$H111)&gt;1),"※当票号在本表里出现了不止一次",IF(AND($L111&lt;&gt;"",$E111=""),"※有金额没写客户","")))))))</f>
        <v/>
      </c>
    </row>
    <row r="112">
      <c r="A112" s="18">
        <f>IF($E112="","",COUNTA($E$4:$E112))</f>
        <v/>
      </c>
      <c r="B112" s="12" t="inlineStr">
        <is>
          <t>金辉典当</t>
        </is>
      </c>
      <c r="C112" s="12" t="inlineStr">
        <is>
          <t>房产</t>
        </is>
      </c>
      <c r="D112" s="12" t="inlineStr">
        <is>
          <t>起诉</t>
        </is>
      </c>
      <c r="E112" s="12" t="inlineStr">
        <is>
          <t>念武</t>
        </is>
      </c>
      <c r="F112" s="12" t="n"/>
      <c r="G112" s="12" t="n"/>
      <c r="H112" s="12" t="inlineStr">
        <is>
          <t>3519156594</t>
        </is>
      </c>
      <c r="I112" s="19" t="n">
        <v>44645</v>
      </c>
      <c r="J112" s="19" t="n"/>
      <c r="K112" s="19" t="n">
        <v>45255</v>
      </c>
      <c r="L112" s="20" t="n">
        <v>300000</v>
      </c>
      <c r="M112" s="20" t="n"/>
      <c r="N112" s="22">
        <f>IF($E112="","",ROUND(N($L112)-N($M112),2))</f>
        <v/>
      </c>
      <c r="O112" s="21" t="n">
        <v>0.025</v>
      </c>
      <c r="P112" s="20" t="n">
        <v>7500</v>
      </c>
      <c r="Q112" s="12" t="inlineStr">
        <is>
          <t>25</t>
        </is>
      </c>
      <c r="R112" s="19" t="n">
        <v>45285</v>
      </c>
      <c r="S112" s="20" t="n"/>
      <c r="T112" s="20" t="n"/>
      <c r="U112" s="20" t="n">
        <v>7500</v>
      </c>
      <c r="V112" s="12" t="inlineStr">
        <is>
          <t>先息</t>
        </is>
      </c>
      <c r="W112" s="12" t="n"/>
      <c r="X112" s="18">
        <f>IF($E112="","",IF(AND($B112&lt;&gt;"",ISNA(MATCH($B112,机构表,0))),"※机构不在【资料】里",IF(AND($D112&lt;&gt;"",ISNA(MATCH($D112,状态表,0))),"※状态不在【资料】里",IF(N($M112)&gt;N($L112),"※已还本金大于典当金额",IF(AND($I112&lt;&gt;"",$J112&lt;&gt;"",$J112&lt;$I112),"※到期日早于当票日期",IF(AND($H112&lt;&gt;"",COUNTIF($H$4:$H$403,$H112)&gt;1),"※当票号在本表里出现了不止一次",IF(AND($L112&lt;&gt;"",$E112=""),"※有金额没写客户","")))))))</f>
        <v/>
      </c>
    </row>
    <row r="113">
      <c r="A113" s="18">
        <f>IF($E113="","",COUNTA($E$4:$E113))</f>
        <v/>
      </c>
      <c r="B113" s="12" t="inlineStr">
        <is>
          <t>金辉典当</t>
        </is>
      </c>
      <c r="C113" s="12" t="inlineStr">
        <is>
          <t>房产</t>
        </is>
      </c>
      <c r="D113" s="12" t="inlineStr">
        <is>
          <t>起诉</t>
        </is>
      </c>
      <c r="E113" s="12" t="inlineStr">
        <is>
          <t>念武</t>
        </is>
      </c>
      <c r="F113" s="12" t="n"/>
      <c r="G113" s="12" t="n"/>
      <c r="H113" s="12" t="n"/>
      <c r="I113" s="19" t="n">
        <v>44861</v>
      </c>
      <c r="J113" s="19" t="n"/>
      <c r="K113" s="19" t="n">
        <v>45258</v>
      </c>
      <c r="L113" s="20" t="n">
        <v>150000</v>
      </c>
      <c r="M113" s="20" t="n"/>
      <c r="N113" s="22">
        <f>IF($E113="","",ROUND(N($L113)-N($M113),2))</f>
        <v/>
      </c>
      <c r="O113" s="21" t="n">
        <v>0.025</v>
      </c>
      <c r="P113" s="20" t="n">
        <v>3750</v>
      </c>
      <c r="Q113" s="12" t="inlineStr">
        <is>
          <t>27</t>
        </is>
      </c>
      <c r="R113" s="19" t="n">
        <v>45257</v>
      </c>
      <c r="S113" s="20" t="n"/>
      <c r="T113" s="20" t="n"/>
      <c r="U113" s="20" t="n">
        <v>3750</v>
      </c>
      <c r="V113" s="12" t="inlineStr">
        <is>
          <t>先息</t>
        </is>
      </c>
      <c r="W113" s="12" t="n"/>
      <c r="X113" s="18">
        <f>IF($E113="","",IF(AND($B113&lt;&gt;"",ISNA(MATCH($B113,机构表,0))),"※机构不在【资料】里",IF(AND($D113&lt;&gt;"",ISNA(MATCH($D113,状态表,0))),"※状态不在【资料】里",IF(N($M113)&gt;N($L113),"※已还本金大于典当金额",IF(AND($I113&lt;&gt;"",$J113&lt;&gt;"",$J113&lt;$I113),"※到期日早于当票日期",IF(AND($H113&lt;&gt;"",COUNTIF($H$4:$H$403,$H113)&gt;1),"※当票号在本表里出现了不止一次",IF(AND($L113&lt;&gt;"",$E113=""),"※有金额没写客户","")))))))</f>
        <v/>
      </c>
    </row>
    <row r="114">
      <c r="A114" s="18">
        <f>IF($E114="","",COUNTA($E$4:$E114))</f>
        <v/>
      </c>
      <c r="B114" s="12" t="inlineStr">
        <is>
          <t>金辉典当</t>
        </is>
      </c>
      <c r="C114" s="12" t="inlineStr">
        <is>
          <t>房产</t>
        </is>
      </c>
      <c r="D114" s="12" t="inlineStr">
        <is>
          <t>在当</t>
        </is>
      </c>
      <c r="E114" s="12" t="inlineStr">
        <is>
          <t>潘立文</t>
        </is>
      </c>
      <c r="F114" s="12" t="n"/>
      <c r="G114" s="12" t="n"/>
      <c r="H114" s="12" t="inlineStr">
        <is>
          <t>3519252767</t>
        </is>
      </c>
      <c r="I114" s="19" t="n">
        <v>45633</v>
      </c>
      <c r="J114" s="19" t="n">
        <v>45722</v>
      </c>
      <c r="K114" s="19" t="n">
        <v>45636</v>
      </c>
      <c r="L114" s="20" t="n">
        <v>220000</v>
      </c>
      <c r="M114" s="20" t="n"/>
      <c r="N114" s="22">
        <f>IF($E114="","",ROUND(N($L114)-N($M114),2))</f>
        <v/>
      </c>
      <c r="O114" s="21" t="n">
        <v>0.025</v>
      </c>
      <c r="P114" s="20" t="n">
        <v>5500</v>
      </c>
      <c r="Q114" s="12" t="inlineStr">
        <is>
          <t>5</t>
        </is>
      </c>
      <c r="R114" s="19" t="n">
        <v>46270</v>
      </c>
      <c r="S114" s="20" t="n"/>
      <c r="T114" s="20" t="n"/>
      <c r="U114" s="20" t="n"/>
      <c r="V114" s="12" t="inlineStr">
        <is>
          <t>先息</t>
        </is>
      </c>
      <c r="W114" s="12" t="n"/>
      <c r="X114" s="18">
        <f>IF($E114="","",IF(AND($B114&lt;&gt;"",ISNA(MATCH($B114,机构表,0))),"※机构不在【资料】里",IF(AND($D114&lt;&gt;"",ISNA(MATCH($D114,状态表,0))),"※状态不在【资料】里",IF(N($M114)&gt;N($L114),"※已还本金大于典当金额",IF(AND($I114&lt;&gt;"",$J114&lt;&gt;"",$J114&lt;$I114),"※到期日早于当票日期",IF(AND($H114&lt;&gt;"",COUNTIF($H$4:$H$403,$H114)&gt;1),"※当票号在本表里出现了不止一次",IF(AND($L114&lt;&gt;"",$E114=""),"※有金额没写客户","")))))))</f>
        <v/>
      </c>
    </row>
    <row r="115">
      <c r="A115" s="18">
        <f>IF($E115="","",COUNTA($E$4:$E115))</f>
        <v/>
      </c>
      <c r="B115" s="12" t="inlineStr">
        <is>
          <t>金辉典当</t>
        </is>
      </c>
      <c r="C115" s="12" t="inlineStr">
        <is>
          <t>房产</t>
        </is>
      </c>
      <c r="D115" s="12" t="inlineStr">
        <is>
          <t>在当</t>
        </is>
      </c>
      <c r="E115" s="12" t="inlineStr">
        <is>
          <t>潘淑萍</t>
        </is>
      </c>
      <c r="F115" s="12" t="n"/>
      <c r="G115" s="12" t="n"/>
      <c r="H115" s="12" t="inlineStr">
        <is>
          <t>3519260505</t>
        </is>
      </c>
      <c r="I115" s="19" t="n">
        <v>45951</v>
      </c>
      <c r="J115" s="19" t="n">
        <v>46010</v>
      </c>
      <c r="K115" s="19" t="n"/>
      <c r="L115" s="20" t="n">
        <v>100000</v>
      </c>
      <c r="M115" s="20" t="n"/>
      <c r="N115" s="22">
        <f>IF($E115="","",ROUND(N($L115)-N($M115),2))</f>
        <v/>
      </c>
      <c r="O115" s="21" t="n">
        <v>0.025</v>
      </c>
      <c r="P115" s="20" t="n">
        <v>2500</v>
      </c>
      <c r="Q115" s="12" t="inlineStr">
        <is>
          <t>8</t>
        </is>
      </c>
      <c r="R115" s="19" t="n">
        <v>46273</v>
      </c>
      <c r="S115" s="20" t="n"/>
      <c r="T115" s="20" t="n"/>
      <c r="U115" s="20" t="n"/>
      <c r="V115" s="12" t="inlineStr">
        <is>
          <t>先息</t>
        </is>
      </c>
      <c r="W115" s="12" t="n"/>
      <c r="X115" s="18">
        <f>IF($E115="","",IF(AND($B115&lt;&gt;"",ISNA(MATCH($B115,机构表,0))),"※机构不在【资料】里",IF(AND($D115&lt;&gt;"",ISNA(MATCH($D115,状态表,0))),"※状态不在【资料】里",IF(N($M115)&gt;N($L115),"※已还本金大于典当金额",IF(AND($I115&lt;&gt;"",$J115&lt;&gt;"",$J115&lt;$I115),"※到期日早于当票日期",IF(AND($H115&lt;&gt;"",COUNTIF($H$4:$H$403,$H115)&gt;1),"※当票号在本表里出现了不止一次",IF(AND($L115&lt;&gt;"",$E115=""),"※有金额没写客户","")))))))</f>
        <v/>
      </c>
    </row>
    <row r="116">
      <c r="A116" s="18">
        <f>IF($E116="","",COUNTA($E$4:$E116))</f>
        <v/>
      </c>
      <c r="B116" s="12" t="inlineStr">
        <is>
          <t>个人典当</t>
        </is>
      </c>
      <c r="C116" s="12" t="inlineStr">
        <is>
          <t>黄金</t>
        </is>
      </c>
      <c r="D116" s="12" t="inlineStr">
        <is>
          <t>在当</t>
        </is>
      </c>
      <c r="E116" s="12" t="inlineStr">
        <is>
          <t>钱蔚宏</t>
        </is>
      </c>
      <c r="F116" s="12" t="n"/>
      <c r="G116" s="12" t="n"/>
      <c r="H116" s="12" t="n"/>
      <c r="I116" s="19" t="n"/>
      <c r="J116" s="19" t="n"/>
      <c r="K116" s="19" t="n">
        <v>46275</v>
      </c>
      <c r="L116" s="20" t="n">
        <v>7500</v>
      </c>
      <c r="M116" s="20" t="n"/>
      <c r="N116" s="22">
        <f>IF($E116="","",ROUND(N($L116)-N($M116),2))</f>
        <v/>
      </c>
      <c r="O116" s="21" t="n"/>
      <c r="P116" s="20" t="n">
        <v>200</v>
      </c>
      <c r="Q116" s="12" t="inlineStr">
        <is>
          <t>10</t>
        </is>
      </c>
      <c r="R116" s="19" t="n">
        <v>46275</v>
      </c>
      <c r="S116" s="20" t="n"/>
      <c r="T116" s="20" t="n"/>
      <c r="U116" s="20" t="n"/>
      <c r="V116" s="12" t="n"/>
      <c r="W116" s="12" t="inlineStr">
        <is>
          <t>24K黄金+18K</t>
        </is>
      </c>
      <c r="X116" s="18">
        <f>IF($E116="","",IF(AND($B116&lt;&gt;"",ISNA(MATCH($B116,机构表,0))),"※机构不在【资料】里",IF(AND($D116&lt;&gt;"",ISNA(MATCH($D116,状态表,0))),"※状态不在【资料】里",IF(N($M116)&gt;N($L116),"※已还本金大于典当金额",IF(AND($I116&lt;&gt;"",$J116&lt;&gt;"",$J116&lt;$I116),"※到期日早于当票日期",IF(AND($H116&lt;&gt;"",COUNTIF($H$4:$H$403,$H116)&gt;1),"※当票号在本表里出现了不止一次",IF(AND($L116&lt;&gt;"",$E116=""),"※有金额没写客户","")))))))</f>
        <v/>
      </c>
    </row>
    <row r="117">
      <c r="A117" s="18">
        <f>IF($E117="","",COUNTA($E$4:$E117))</f>
        <v/>
      </c>
      <c r="B117" s="12" t="inlineStr">
        <is>
          <t>个人典当</t>
        </is>
      </c>
      <c r="C117" s="12" t="inlineStr">
        <is>
          <t>车子</t>
        </is>
      </c>
      <c r="D117" s="12" t="inlineStr">
        <is>
          <t>结款（个人）</t>
        </is>
      </c>
      <c r="E117" s="12" t="inlineStr">
        <is>
          <t>秦国发</t>
        </is>
      </c>
      <c r="F117" s="12" t="n"/>
      <c r="G117" s="12" t="n"/>
      <c r="H117" s="12" t="n"/>
      <c r="I117" s="19" t="n"/>
      <c r="J117" s="19" t="n">
        <v>45669</v>
      </c>
      <c r="K117" s="19" t="n">
        <v>46005</v>
      </c>
      <c r="L117" s="20" t="n">
        <v>18000</v>
      </c>
      <c r="M117" s="20" t="n"/>
      <c r="N117" s="22">
        <f>IF($E117="","",ROUND(N($L117)-N($M117),2))</f>
        <v/>
      </c>
      <c r="O117" s="21" t="n"/>
      <c r="P117" s="20" t="n">
        <v>1000</v>
      </c>
      <c r="Q117" s="12" t="n"/>
      <c r="R117" s="19" t="n">
        <v>46248</v>
      </c>
      <c r="S117" s="20" t="n"/>
      <c r="T117" s="20" t="n"/>
      <c r="U117" s="20" t="n"/>
      <c r="V117" s="12" t="n"/>
      <c r="W117" s="12" t="inlineStr">
        <is>
          <t>26.8.28卖车款18500已转林总建行</t>
        </is>
      </c>
      <c r="X117" s="18">
        <f>IF($E117="","",IF(AND($B117&lt;&gt;"",ISNA(MATCH($B117,机构表,0))),"※机构不在【资料】里",IF(AND($D117&lt;&gt;"",ISNA(MATCH($D117,状态表,0))),"※状态不在【资料】里",IF(N($M117)&gt;N($L117),"※已还本金大于典当金额",IF(AND($I117&lt;&gt;"",$J117&lt;&gt;"",$J117&lt;$I117),"※到期日早于当票日期",IF(AND($H117&lt;&gt;"",COUNTIF($H$4:$H$403,$H117)&gt;1),"※当票号在本表里出现了不止一次",IF(AND($L117&lt;&gt;"",$E117=""),"※有金额没写客户","")))))))</f>
        <v/>
      </c>
    </row>
    <row r="118">
      <c r="A118" s="18">
        <f>IF($E118="","",COUNTA($E$4:$E118))</f>
        <v/>
      </c>
      <c r="B118" s="12" t="inlineStr">
        <is>
          <t>金辉典当</t>
        </is>
      </c>
      <c r="C118" s="12" t="inlineStr">
        <is>
          <t>黄金</t>
        </is>
      </c>
      <c r="D118" s="12" t="inlineStr">
        <is>
          <t>在当</t>
        </is>
      </c>
      <c r="E118" s="12" t="inlineStr">
        <is>
          <t>施鉴波</t>
        </is>
      </c>
      <c r="F118" s="12" t="n"/>
      <c r="G118" s="12" t="n"/>
      <c r="H118" s="12" t="inlineStr">
        <is>
          <t>3524019242</t>
        </is>
      </c>
      <c r="I118" s="19" t="n">
        <v>46226</v>
      </c>
      <c r="J118" s="19" t="n">
        <v>46405</v>
      </c>
      <c r="K118" s="19" t="n"/>
      <c r="L118" s="20" t="n">
        <v>17000</v>
      </c>
      <c r="M118" s="20" t="n"/>
      <c r="N118" s="22">
        <f>IF($E118="","",ROUND(N($L118)-N($M118),2))</f>
        <v/>
      </c>
      <c r="O118" s="21" t="n">
        <v>0.005</v>
      </c>
      <c r="P118" s="20" t="n">
        <v>425</v>
      </c>
      <c r="Q118" s="12" t="inlineStr">
        <is>
          <t>22</t>
        </is>
      </c>
      <c r="R118" s="19" t="n">
        <v>46256</v>
      </c>
      <c r="S118" s="20" t="n">
        <v>85</v>
      </c>
      <c r="T118" s="20" t="n"/>
      <c r="U118" s="20" t="n"/>
      <c r="V118" s="12" t="n"/>
      <c r="W118" s="12" t="n"/>
      <c r="X118" s="18">
        <f>IF($E118="","",IF(AND($B118&lt;&gt;"",ISNA(MATCH($B118,机构表,0))),"※机构不在【资料】里",IF(AND($D118&lt;&gt;"",ISNA(MATCH($D118,状态表,0))),"※状态不在【资料】里",IF(N($M118)&gt;N($L118),"※已还本金大于典当金额",IF(AND($I118&lt;&gt;"",$J118&lt;&gt;"",$J118&lt;$I118),"※到期日早于当票日期",IF(AND($H118&lt;&gt;"",COUNTIF($H$4:$H$403,$H118)&gt;1),"※当票号在本表里出现了不止一次",IF(AND($L118&lt;&gt;"",$E118=""),"※有金额没写客户","")))))))</f>
        <v/>
      </c>
    </row>
    <row r="119">
      <c r="A119" s="18">
        <f>IF($E119="","",COUNTA($E$4:$E119))</f>
        <v/>
      </c>
      <c r="B119" s="12" t="inlineStr">
        <is>
          <t>个人典当</t>
        </is>
      </c>
      <c r="C119" s="12" t="inlineStr">
        <is>
          <t>黄金</t>
        </is>
      </c>
      <c r="D119" s="12" t="inlineStr">
        <is>
          <t>在当</t>
        </is>
      </c>
      <c r="E119" s="12" t="inlineStr">
        <is>
          <t>宋磊华</t>
        </is>
      </c>
      <c r="F119" s="12" t="n"/>
      <c r="G119" s="12" t="n"/>
      <c r="H119" s="12" t="n"/>
      <c r="I119" s="19" t="n"/>
      <c r="J119" s="19" t="n">
        <v>46026</v>
      </c>
      <c r="K119" s="19" t="n">
        <v>45997</v>
      </c>
      <c r="L119" s="20" t="n">
        <v>10000</v>
      </c>
      <c r="M119" s="20" t="n"/>
      <c r="N119" s="22">
        <f>IF($E119="","",ROUND(N($L119)-N($M119),2))</f>
        <v/>
      </c>
      <c r="O119" s="21" t="n"/>
      <c r="P119" s="20" t="n">
        <v>200</v>
      </c>
      <c r="Q119" s="12" t="inlineStr">
        <is>
          <t>5</t>
        </is>
      </c>
      <c r="R119" s="19" t="n">
        <v>46270</v>
      </c>
      <c r="S119" s="20" t="n"/>
      <c r="T119" s="20" t="n"/>
      <c r="U119" s="20" t="n"/>
      <c r="V119" s="12" t="n"/>
      <c r="W119" s="12" t="n"/>
      <c r="X119" s="18">
        <f>IF($E119="","",IF(AND($B119&lt;&gt;"",ISNA(MATCH($B119,机构表,0))),"※机构不在【资料】里",IF(AND($D119&lt;&gt;"",ISNA(MATCH($D119,状态表,0))),"※状态不在【资料】里",IF(N($M119)&gt;N($L119),"※已还本金大于典当金额",IF(AND($I119&lt;&gt;"",$J119&lt;&gt;"",$J119&lt;$I119),"※到期日早于当票日期",IF(AND($H119&lt;&gt;"",COUNTIF($H$4:$H$403,$H119)&gt;1),"※当票号在本表里出现了不止一次",IF(AND($L119&lt;&gt;"",$E119=""),"※有金额没写客户","")))))))</f>
        <v/>
      </c>
    </row>
    <row r="120">
      <c r="A120" s="18">
        <f>IF($E120="","",COUNTA($E$4:$E120))</f>
        <v/>
      </c>
      <c r="B120" s="12" t="inlineStr">
        <is>
          <t>个人典当</t>
        </is>
      </c>
      <c r="C120" s="12" t="inlineStr">
        <is>
          <t>私人借款</t>
        </is>
      </c>
      <c r="D120" s="12" t="inlineStr">
        <is>
          <t>在当-无息</t>
        </is>
      </c>
      <c r="E120" s="12" t="inlineStr">
        <is>
          <t>孙长健</t>
        </is>
      </c>
      <c r="F120" s="12" t="n"/>
      <c r="G120" s="12" t="n"/>
      <c r="H120" s="12" t="n"/>
      <c r="I120" s="19" t="n"/>
      <c r="J120" s="19" t="n"/>
      <c r="K120" s="19" t="n">
        <v>45499</v>
      </c>
      <c r="L120" s="20" t="n">
        <v>50000</v>
      </c>
      <c r="M120" s="20" t="n"/>
      <c r="N120" s="22">
        <f>IF($E120="","",ROUND(N($L120)-N($M120),2))</f>
        <v/>
      </c>
      <c r="O120" s="21" t="n"/>
      <c r="P120" s="20" t="n">
        <v>1250</v>
      </c>
      <c r="Q120" s="12" t="inlineStr">
        <is>
          <t>20</t>
        </is>
      </c>
      <c r="R120" s="19" t="n">
        <v>45736</v>
      </c>
      <c r="S120" s="20" t="n"/>
      <c r="T120" s="20" t="n"/>
      <c r="U120" s="20" t="n"/>
      <c r="V120" s="12" t="n"/>
      <c r="W120" s="12" t="n"/>
      <c r="X120" s="18">
        <f>IF($E120="","",IF(AND($B120&lt;&gt;"",ISNA(MATCH($B120,机构表,0))),"※机构不在【资料】里",IF(AND($D120&lt;&gt;"",ISNA(MATCH($D120,状态表,0))),"※状态不在【资料】里",IF(N($M120)&gt;N($L120),"※已还本金大于典当金额",IF(AND($I120&lt;&gt;"",$J120&lt;&gt;"",$J120&lt;$I120),"※到期日早于当票日期",IF(AND($H120&lt;&gt;"",COUNTIF($H$4:$H$403,$H120)&gt;1),"※当票号在本表里出现了不止一次",IF(AND($L120&lt;&gt;"",$E120=""),"※有金额没写客户","")))))))</f>
        <v/>
      </c>
    </row>
    <row r="121">
      <c r="A121" s="18">
        <f>IF($E121="","",COUNTA($E$4:$E121))</f>
        <v/>
      </c>
      <c r="B121" s="12" t="inlineStr">
        <is>
          <t>金辉典当</t>
        </is>
      </c>
      <c r="C121" s="12" t="inlineStr">
        <is>
          <t>车位</t>
        </is>
      </c>
      <c r="D121" s="12" t="inlineStr">
        <is>
          <t>在当</t>
        </is>
      </c>
      <c r="E121" s="12" t="inlineStr">
        <is>
          <t>汤静</t>
        </is>
      </c>
      <c r="F121" s="12" t="n"/>
      <c r="G121" s="12" t="n"/>
      <c r="H121" s="12" t="inlineStr">
        <is>
          <t>3519260513</t>
        </is>
      </c>
      <c r="I121" s="19" t="n">
        <v>46037</v>
      </c>
      <c r="J121" s="19" t="n">
        <v>46216</v>
      </c>
      <c r="K121" s="19" t="n"/>
      <c r="L121" s="20" t="n">
        <v>53000</v>
      </c>
      <c r="M121" s="20" t="n"/>
      <c r="N121" s="22">
        <f>IF($E121="","",ROUND(N($L121)-N($M121),2))</f>
        <v/>
      </c>
      <c r="O121" s="21" t="n">
        <v>0.025</v>
      </c>
      <c r="P121" s="20" t="n">
        <v>1500</v>
      </c>
      <c r="Q121" s="12" t="inlineStr">
        <is>
          <t>15</t>
        </is>
      </c>
      <c r="R121" s="19" t="n">
        <v>46188</v>
      </c>
      <c r="S121" s="20" t="n"/>
      <c r="T121" s="20" t="n"/>
      <c r="U121" s="20" t="n"/>
      <c r="V121" s="12" t="n"/>
      <c r="W121" s="12" t="n"/>
      <c r="X121" s="18">
        <f>IF($E121="","",IF(AND($B121&lt;&gt;"",ISNA(MATCH($B121,机构表,0))),"※机构不在【资料】里",IF(AND($D121&lt;&gt;"",ISNA(MATCH($D121,状态表,0))),"※状态不在【资料】里",IF(N($M121)&gt;N($L121),"※已还本金大于典当金额",IF(AND($I121&lt;&gt;"",$J121&lt;&gt;"",$J121&lt;$I121),"※到期日早于当票日期",IF(AND($H121&lt;&gt;"",COUNTIF($H$4:$H$403,$H121)&gt;1),"※当票号在本表里出现了不止一次",IF(AND($L121&lt;&gt;"",$E121=""),"※有金额没写客户","")))))))</f>
        <v/>
      </c>
    </row>
    <row r="122">
      <c r="A122" s="18">
        <f>IF($E122="","",COUNTA($E$4:$E122))</f>
        <v/>
      </c>
      <c r="B122" s="12" t="inlineStr">
        <is>
          <t>个人典当</t>
        </is>
      </c>
      <c r="C122" s="12" t="inlineStr">
        <is>
          <t>法拍垫资</t>
        </is>
      </c>
      <c r="D122" s="12" t="inlineStr">
        <is>
          <t>在当</t>
        </is>
      </c>
      <c r="E122" s="12" t="inlineStr">
        <is>
          <t>汤丽娇</t>
        </is>
      </c>
      <c r="F122" s="12" t="n"/>
      <c r="G122" s="12" t="n"/>
      <c r="H122" s="12" t="n"/>
      <c r="I122" s="19" t="n"/>
      <c r="J122" s="19" t="n"/>
      <c r="K122" s="19" t="n">
        <v>46252</v>
      </c>
      <c r="L122" s="20" t="n">
        <v>300000</v>
      </c>
      <c r="M122" s="20" t="n"/>
      <c r="N122" s="22">
        <f>IF($E122="","",ROUND(N($L122)-N($M122),2))</f>
        <v/>
      </c>
      <c r="O122" s="21" t="n"/>
      <c r="P122" s="20" t="n">
        <v>9000</v>
      </c>
      <c r="Q122" s="12" t="inlineStr">
        <is>
          <t>16</t>
        </is>
      </c>
      <c r="R122" s="19" t="n">
        <v>46281</v>
      </c>
      <c r="S122" s="20" t="n"/>
      <c r="T122" s="20" t="n"/>
      <c r="U122" s="20" t="n"/>
      <c r="V122" s="12" t="n"/>
      <c r="W122" s="12" t="n"/>
      <c r="X122" s="18">
        <f>IF($E122="","",IF(AND($B122&lt;&gt;"",ISNA(MATCH($B122,机构表,0))),"※机构不在【资料】里",IF(AND($D122&lt;&gt;"",ISNA(MATCH($D122,状态表,0))),"※状态不在【资料】里",IF(N($M122)&gt;N($L122),"※已还本金大于典当金额",IF(AND($I122&lt;&gt;"",$J122&lt;&gt;"",$J122&lt;$I122),"※到期日早于当票日期",IF(AND($H122&lt;&gt;"",COUNTIF($H$4:$H$403,$H122)&gt;1),"※当票号在本表里出现了不止一次",IF(AND($L122&lt;&gt;"",$E122=""),"※有金额没写客户","")))))))</f>
        <v/>
      </c>
    </row>
    <row r="123">
      <c r="A123" s="18">
        <f>IF($E123="","",COUNTA($E$4:$E123))</f>
        <v/>
      </c>
      <c r="B123" s="12" t="inlineStr">
        <is>
          <t>个人典当</t>
        </is>
      </c>
      <c r="C123" s="12" t="inlineStr">
        <is>
          <t>法拍垫资</t>
        </is>
      </c>
      <c r="D123" s="12" t="inlineStr">
        <is>
          <t>在当</t>
        </is>
      </c>
      <c r="E123" s="12" t="inlineStr">
        <is>
          <t>汤丽娇</t>
        </is>
      </c>
      <c r="F123" s="12" t="n"/>
      <c r="G123" s="12" t="n"/>
      <c r="H123" s="12" t="n"/>
      <c r="I123" s="19" t="n"/>
      <c r="J123" s="19" t="n"/>
      <c r="K123" s="19" t="n">
        <v>46269</v>
      </c>
      <c r="L123" s="20" t="n">
        <v>1260000</v>
      </c>
      <c r="M123" s="20" t="n"/>
      <c r="N123" s="22">
        <f>IF($E123="","",ROUND(N($L123)-N($M123),2))</f>
        <v/>
      </c>
      <c r="O123" s="21" t="n"/>
      <c r="P123" s="20" t="n">
        <v>37800</v>
      </c>
      <c r="Q123" s="12" t="inlineStr">
        <is>
          <t>4</t>
        </is>
      </c>
      <c r="R123" s="19" t="n">
        <v>46269</v>
      </c>
      <c r="S123" s="20" t="n"/>
      <c r="T123" s="20" t="n"/>
      <c r="U123" s="20" t="n"/>
      <c r="V123" s="12" t="n"/>
      <c r="W123" s="12" t="n"/>
      <c r="X123" s="18">
        <f>IF($E123="","",IF(AND($B123&lt;&gt;"",ISNA(MATCH($B123,机构表,0))),"※机构不在【资料】里",IF(AND($D123&lt;&gt;"",ISNA(MATCH($D123,状态表,0))),"※状态不在【资料】里",IF(N($M123)&gt;N($L123),"※已还本金大于典当金额",IF(AND($I123&lt;&gt;"",$J123&lt;&gt;"",$J123&lt;$I123),"※到期日早于当票日期",IF(AND($H123&lt;&gt;"",COUNTIF($H$4:$H$403,$H123)&gt;1),"※当票号在本表里出现了不止一次",IF(AND($L123&lt;&gt;"",$E123=""),"※有金额没写客户","")))))))</f>
        <v/>
      </c>
    </row>
    <row r="124">
      <c r="A124" s="18">
        <f>IF($E124="","",COUNTA($E$4:$E124))</f>
        <v/>
      </c>
      <c r="B124" s="12" t="inlineStr">
        <is>
          <t>个人典当</t>
        </is>
      </c>
      <c r="C124" s="12" t="inlineStr">
        <is>
          <t>黄金</t>
        </is>
      </c>
      <c r="D124" s="12" t="inlineStr">
        <is>
          <t>在当</t>
        </is>
      </c>
      <c r="E124" s="12" t="inlineStr">
        <is>
          <t>唐俊俊</t>
        </is>
      </c>
      <c r="F124" s="12" t="n"/>
      <c r="G124" s="12" t="n"/>
      <c r="H124" s="12" t="n"/>
      <c r="I124" s="19" t="n"/>
      <c r="J124" s="19" t="n"/>
      <c r="K124" s="19" t="n">
        <v>46170</v>
      </c>
      <c r="L124" s="20" t="n">
        <v>3700</v>
      </c>
      <c r="M124" s="20" t="n"/>
      <c r="N124" s="22">
        <f>IF($E124="","",ROUND(N($L124)-N($M124),2))</f>
        <v/>
      </c>
      <c r="O124" s="21" t="n"/>
      <c r="P124" s="20" t="n">
        <v>200</v>
      </c>
      <c r="Q124" s="12" t="inlineStr">
        <is>
          <t>27</t>
        </is>
      </c>
      <c r="R124" s="19" t="n">
        <v>46292</v>
      </c>
      <c r="S124" s="20" t="n"/>
      <c r="T124" s="20" t="n"/>
      <c r="U124" s="20" t="n"/>
      <c r="V124" s="12" t="n"/>
      <c r="W124" s="12" t="n"/>
      <c r="X124" s="18">
        <f>IF($E124="","",IF(AND($B124&lt;&gt;"",ISNA(MATCH($B124,机构表,0))),"※机构不在【资料】里",IF(AND($D124&lt;&gt;"",ISNA(MATCH($D124,状态表,0))),"※状态不在【资料】里",IF(N($M124)&gt;N($L124),"※已还本金大于典当金额",IF(AND($I124&lt;&gt;"",$J124&lt;&gt;"",$J124&lt;$I124),"※到期日早于当票日期",IF(AND($H124&lt;&gt;"",COUNTIF($H$4:$H$403,$H124)&gt;1),"※当票号在本表里出现了不止一次",IF(AND($L124&lt;&gt;"",$E124=""),"※有金额没写客户","")))))))</f>
        <v/>
      </c>
    </row>
    <row r="125">
      <c r="A125" s="18">
        <f>IF($E125="","",COUNTA($E$4:$E125))</f>
        <v/>
      </c>
      <c r="B125" s="12" t="inlineStr">
        <is>
          <t>金辉典当</t>
        </is>
      </c>
      <c r="C125" s="12" t="inlineStr">
        <is>
          <t>房产</t>
        </is>
      </c>
      <c r="D125" s="12" t="inlineStr">
        <is>
          <t>在当</t>
        </is>
      </c>
      <c r="E125" s="12" t="inlineStr">
        <is>
          <t>涂志高</t>
        </is>
      </c>
      <c r="F125" s="12" t="n"/>
      <c r="G125" s="12" t="n"/>
      <c r="H125" s="12" t="inlineStr">
        <is>
          <t>3519252800</t>
        </is>
      </c>
      <c r="I125" s="19" t="n">
        <v>45895</v>
      </c>
      <c r="J125" s="19" t="n">
        <v>45924</v>
      </c>
      <c r="K125" s="19" t="n"/>
      <c r="L125" s="20" t="n">
        <v>340000</v>
      </c>
      <c r="M125" s="20" t="n"/>
      <c r="N125" s="22">
        <f>IF($E125="","",ROUND(N($L125)-N($M125),2))</f>
        <v/>
      </c>
      <c r="O125" s="21" t="n">
        <v>0.016</v>
      </c>
      <c r="P125" s="20" t="n">
        <v>5440</v>
      </c>
      <c r="Q125" s="12" t="inlineStr">
        <is>
          <t>25</t>
        </is>
      </c>
      <c r="R125" s="19" t="n">
        <v>46137</v>
      </c>
      <c r="S125" s="20" t="n"/>
      <c r="T125" s="20" t="n"/>
      <c r="U125" s="20" t="n"/>
      <c r="V125" s="12" t="inlineStr">
        <is>
          <t>先息</t>
        </is>
      </c>
      <c r="W125" s="12" t="n"/>
      <c r="X125" s="18">
        <f>IF($E125="","",IF(AND($B125&lt;&gt;"",ISNA(MATCH($B125,机构表,0))),"※机构不在【资料】里",IF(AND($D125&lt;&gt;"",ISNA(MATCH($D125,状态表,0))),"※状态不在【资料】里",IF(N($M125)&gt;N($L125),"※已还本金大于典当金额",IF(AND($I125&lt;&gt;"",$J125&lt;&gt;"",$J125&lt;$I125),"※到期日早于当票日期",IF(AND($H125&lt;&gt;"",COUNTIF($H$4:$H$403,$H125)&gt;1),"※当票号在本表里出现了不止一次",IF(AND($L125&lt;&gt;"",$E125=""),"※有金额没写客户","")))))))</f>
        <v/>
      </c>
    </row>
    <row r="126">
      <c r="A126" s="18">
        <f>IF($E126="","",COUNTA($E$4:$E126))</f>
        <v/>
      </c>
      <c r="B126" s="12" t="inlineStr">
        <is>
          <t>金辉典当</t>
        </is>
      </c>
      <c r="C126" s="12" t="inlineStr">
        <is>
          <t>房产</t>
        </is>
      </c>
      <c r="D126" s="12" t="inlineStr">
        <is>
          <t>赎当</t>
        </is>
      </c>
      <c r="E126" s="12" t="inlineStr">
        <is>
          <t>汪琼宇</t>
        </is>
      </c>
      <c r="F126" s="12" t="n"/>
      <c r="G126" s="12" t="n"/>
      <c r="H126" s="12" t="inlineStr">
        <is>
          <t>3524019243</t>
        </is>
      </c>
      <c r="I126" s="19" t="n">
        <v>46219</v>
      </c>
      <c r="J126" s="19" t="n">
        <v>46398</v>
      </c>
      <c r="K126" s="19" t="n"/>
      <c r="L126" s="20" t="n">
        <v>400000</v>
      </c>
      <c r="M126" s="20" t="n"/>
      <c r="N126" s="22">
        <f>IF($E126="","",ROUND(N($L126)-N($M126),2))</f>
        <v/>
      </c>
      <c r="O126" s="21" t="n">
        <v>0.018</v>
      </c>
      <c r="P126" s="20" t="n">
        <v>7200</v>
      </c>
      <c r="Q126" s="12" t="n"/>
      <c r="R126" s="19" t="n">
        <v>46250</v>
      </c>
      <c r="S126" s="20" t="n"/>
      <c r="T126" s="20" t="n"/>
      <c r="U126" s="20" t="n"/>
      <c r="V126" s="12" t="n"/>
      <c r="W126" s="12" t="n"/>
      <c r="X126" s="18">
        <f>IF($E126="","",IF(AND($B126&lt;&gt;"",ISNA(MATCH($B126,机构表,0))),"※机构不在【资料】里",IF(AND($D126&lt;&gt;"",ISNA(MATCH($D126,状态表,0))),"※状态不在【资料】里",IF(N($M126)&gt;N($L126),"※已还本金大于典当金额",IF(AND($I126&lt;&gt;"",$J126&lt;&gt;"",$J126&lt;$I126),"※到期日早于当票日期",IF(AND($H126&lt;&gt;"",COUNTIF($H$4:$H$403,$H126)&gt;1),"※当票号在本表里出现了不止一次",IF(AND($L126&lt;&gt;"",$E126=""),"※有金额没写客户","")))))))</f>
        <v/>
      </c>
    </row>
    <row r="127">
      <c r="A127" s="18">
        <f>IF($E127="","",COUNTA($E$4:$E127))</f>
        <v/>
      </c>
      <c r="B127" s="12" t="inlineStr">
        <is>
          <t>金辉典当</t>
        </is>
      </c>
      <c r="C127" s="12" t="inlineStr">
        <is>
          <t>房产</t>
        </is>
      </c>
      <c r="D127" s="12" t="inlineStr">
        <is>
          <t>赎当</t>
        </is>
      </c>
      <c r="E127" s="12" t="inlineStr">
        <is>
          <t>汪琼宇</t>
        </is>
      </c>
      <c r="F127" s="12" t="n"/>
      <c r="G127" s="12" t="n"/>
      <c r="H127" s="12" t="n"/>
      <c r="I127" s="19" t="n">
        <v>46230</v>
      </c>
      <c r="J127" s="19" t="n">
        <v>46407</v>
      </c>
      <c r="K127" s="19" t="n"/>
      <c r="L127" s="20" t="n">
        <v>200000</v>
      </c>
      <c r="M127" s="20" t="n"/>
      <c r="N127" s="22">
        <f>IF($E127="","",ROUND(N($L127)-N($M127),2))</f>
        <v/>
      </c>
      <c r="O127" s="21" t="n">
        <v>0.018</v>
      </c>
      <c r="P127" s="20" t="n">
        <v>3600</v>
      </c>
      <c r="Q127" s="12" t="n"/>
      <c r="R127" s="19" t="n">
        <v>46261</v>
      </c>
      <c r="S127" s="20" t="n"/>
      <c r="T127" s="20" t="n"/>
      <c r="U127" s="20" t="n"/>
      <c r="V127" s="12" t="n"/>
      <c r="W127" s="12" t="n"/>
      <c r="X127" s="18">
        <f>IF($E127="","",IF(AND($B127&lt;&gt;"",ISNA(MATCH($B127,机构表,0))),"※机构不在【资料】里",IF(AND($D127&lt;&gt;"",ISNA(MATCH($D127,状态表,0))),"※状态不在【资料】里",IF(N($M127)&gt;N($L127),"※已还本金大于典当金额",IF(AND($I127&lt;&gt;"",$J127&lt;&gt;"",$J127&lt;$I127),"※到期日早于当票日期",IF(AND($H127&lt;&gt;"",COUNTIF($H$4:$H$403,$H127)&gt;1),"※当票号在本表里出现了不止一次",IF(AND($L127&lt;&gt;"",$E127=""),"※有金额没写客户","")))))))</f>
        <v/>
      </c>
    </row>
    <row r="128">
      <c r="A128" s="18">
        <f>IF($E128="","",COUNTA($E$4:$E128))</f>
        <v/>
      </c>
      <c r="B128" s="12" t="inlineStr">
        <is>
          <t>金辉典当</t>
        </is>
      </c>
      <c r="C128" s="12" t="inlineStr">
        <is>
          <t>房产</t>
        </is>
      </c>
      <c r="D128" s="12" t="inlineStr">
        <is>
          <t>赎当</t>
        </is>
      </c>
      <c r="E128" s="12" t="inlineStr">
        <is>
          <t>汪琼宇</t>
        </is>
      </c>
      <c r="F128" s="12" t="n"/>
      <c r="G128" s="12" t="n"/>
      <c r="H128" s="12" t="n"/>
      <c r="I128" s="19" t="n">
        <v>46234</v>
      </c>
      <c r="J128" s="19" t="n">
        <v>46412</v>
      </c>
      <c r="K128" s="19" t="n"/>
      <c r="L128" s="20" t="n">
        <v>100000</v>
      </c>
      <c r="M128" s="20" t="n"/>
      <c r="N128" s="22">
        <f>IF($E128="","",ROUND(N($L128)-N($M128),2))</f>
        <v/>
      </c>
      <c r="O128" s="21" t="n">
        <v>0.018</v>
      </c>
      <c r="P128" s="20" t="n">
        <v>1800</v>
      </c>
      <c r="Q128" s="12" t="n"/>
      <c r="R128" s="19" t="n">
        <v>46264</v>
      </c>
      <c r="S128" s="20" t="n"/>
      <c r="T128" s="20" t="n"/>
      <c r="U128" s="20" t="n"/>
      <c r="V128" s="12" t="n"/>
      <c r="W128" s="12" t="n"/>
      <c r="X128" s="18">
        <f>IF($E128="","",IF(AND($B128&lt;&gt;"",ISNA(MATCH($B128,机构表,0))),"※机构不在【资料】里",IF(AND($D128&lt;&gt;"",ISNA(MATCH($D128,状态表,0))),"※状态不在【资料】里",IF(N($M128)&gt;N($L128),"※已还本金大于典当金额",IF(AND($I128&lt;&gt;"",$J128&lt;&gt;"",$J128&lt;$I128),"※到期日早于当票日期",IF(AND($H128&lt;&gt;"",COUNTIF($H$4:$H$403,$H128)&gt;1),"※当票号在本表里出现了不止一次",IF(AND($L128&lt;&gt;"",$E128=""),"※有金额没写客户","")))))))</f>
        <v/>
      </c>
    </row>
    <row r="129">
      <c r="A129" s="18">
        <f>IF($E129="","",COUNTA($E$4:$E129))</f>
        <v/>
      </c>
      <c r="B129" s="12" t="inlineStr">
        <is>
          <t>个人典当</t>
        </is>
      </c>
      <c r="C129" s="12" t="inlineStr">
        <is>
          <t>私人借款</t>
        </is>
      </c>
      <c r="D129" s="12" t="inlineStr">
        <is>
          <t>无法回款</t>
        </is>
      </c>
      <c r="E129" s="12" t="inlineStr">
        <is>
          <t>王斌</t>
        </is>
      </c>
      <c r="F129" s="12" t="n"/>
      <c r="G129" s="12" t="n"/>
      <c r="H129" s="12" t="n"/>
      <c r="I129" s="19" t="n"/>
      <c r="J129" s="19" t="n"/>
      <c r="K129" s="19" t="n">
        <v>44116</v>
      </c>
      <c r="L129" s="20" t="n">
        <v>15000</v>
      </c>
      <c r="M129" s="20" t="n"/>
      <c r="N129" s="22">
        <f>IF($E129="","",ROUND(N($L129)-N($M129),2))</f>
        <v/>
      </c>
      <c r="O129" s="21" t="n"/>
      <c r="P129" s="20" t="n"/>
      <c r="Q129" s="12" t="n"/>
      <c r="R129" s="19" t="n"/>
      <c r="S129" s="20" t="n"/>
      <c r="T129" s="20" t="n"/>
      <c r="U129" s="20" t="n"/>
      <c r="V129" s="12" t="n"/>
      <c r="W129" s="12" t="inlineStr">
        <is>
          <t>无法回款</t>
        </is>
      </c>
      <c r="X129" s="18">
        <f>IF($E129="","",IF(AND($B129&lt;&gt;"",ISNA(MATCH($B129,机构表,0))),"※机构不在【资料】里",IF(AND($D129&lt;&gt;"",ISNA(MATCH($D129,状态表,0))),"※状态不在【资料】里",IF(N($M129)&gt;N($L129),"※已还本金大于典当金额",IF(AND($I129&lt;&gt;"",$J129&lt;&gt;"",$J129&lt;$I129),"※到期日早于当票日期",IF(AND($H129&lt;&gt;"",COUNTIF($H$4:$H$403,$H129)&gt;1),"※当票号在本表里出现了不止一次",IF(AND($L129&lt;&gt;"",$E129=""),"※有金额没写客户","")))))))</f>
        <v/>
      </c>
    </row>
    <row r="130">
      <c r="A130" s="18">
        <f>IF($E130="","",COUNTA($E$4:$E130))</f>
        <v/>
      </c>
      <c r="B130" s="12" t="inlineStr">
        <is>
          <t>个人典当</t>
        </is>
      </c>
      <c r="C130" s="12" t="inlineStr">
        <is>
          <t>车子</t>
        </is>
      </c>
      <c r="D130" s="12" t="inlineStr">
        <is>
          <t>在当</t>
        </is>
      </c>
      <c r="E130" s="12" t="inlineStr">
        <is>
          <t>王东璘</t>
        </is>
      </c>
      <c r="F130" s="12" t="n"/>
      <c r="G130" s="12" t="n"/>
      <c r="H130" s="12" t="n"/>
      <c r="I130" s="19" t="n"/>
      <c r="J130" s="19" t="n">
        <v>46008</v>
      </c>
      <c r="K130" s="19" t="n">
        <v>45979</v>
      </c>
      <c r="L130" s="20" t="n">
        <v>15000</v>
      </c>
      <c r="M130" s="20" t="n"/>
      <c r="N130" s="22">
        <f>IF($E130="","",ROUND(N($L130)-N($M130),2))</f>
        <v/>
      </c>
      <c r="O130" s="21" t="n"/>
      <c r="P130" s="20" t="n">
        <v>900</v>
      </c>
      <c r="Q130" s="12" t="inlineStr">
        <is>
          <t>17</t>
        </is>
      </c>
      <c r="R130" s="19" t="n">
        <v>46282</v>
      </c>
      <c r="S130" s="20" t="n"/>
      <c r="T130" s="20" t="n"/>
      <c r="U130" s="20" t="n"/>
      <c r="V130" s="12" t="n"/>
      <c r="W130" s="12" t="n"/>
      <c r="X130" s="18">
        <f>IF($E130="","",IF(AND($B130&lt;&gt;"",ISNA(MATCH($B130,机构表,0))),"※机构不在【资料】里",IF(AND($D130&lt;&gt;"",ISNA(MATCH($D130,状态表,0))),"※状态不在【资料】里",IF(N($M130)&gt;N($L130),"※已还本金大于典当金额",IF(AND($I130&lt;&gt;"",$J130&lt;&gt;"",$J130&lt;$I130),"※到期日早于当票日期",IF(AND($H130&lt;&gt;"",COUNTIF($H$4:$H$403,$H130)&gt;1),"※当票号在本表里出现了不止一次",IF(AND($L130&lt;&gt;"",$E130=""),"※有金额没写客户","")))))))</f>
        <v/>
      </c>
    </row>
    <row r="131">
      <c r="A131" s="18">
        <f>IF($E131="","",COUNTA($E$4:$E131))</f>
        <v/>
      </c>
      <c r="B131" s="12" t="inlineStr">
        <is>
          <t>个人典当</t>
        </is>
      </c>
      <c r="C131" s="12" t="inlineStr">
        <is>
          <t>黄金</t>
        </is>
      </c>
      <c r="D131" s="12" t="inlineStr">
        <is>
          <t>在当</t>
        </is>
      </c>
      <c r="E131" s="12" t="inlineStr">
        <is>
          <t>王海龙</t>
        </is>
      </c>
      <c r="F131" s="12" t="n"/>
      <c r="G131" s="12" t="n"/>
      <c r="H131" s="12" t="n"/>
      <c r="I131" s="19" t="n"/>
      <c r="J131" s="19" t="n"/>
      <c r="K131" s="19" t="n">
        <v>46251</v>
      </c>
      <c r="L131" s="20" t="n">
        <v>8600</v>
      </c>
      <c r="M131" s="20" t="n"/>
      <c r="N131" s="22">
        <f>IF($E131="","",ROUND(N($L131)-N($M131),2))</f>
        <v/>
      </c>
      <c r="O131" s="21" t="n"/>
      <c r="P131" s="20" t="n">
        <v>215</v>
      </c>
      <c r="Q131" s="12" t="inlineStr">
        <is>
          <t>16</t>
        </is>
      </c>
      <c r="R131" s="19" t="n">
        <v>46281</v>
      </c>
      <c r="S131" s="20" t="n"/>
      <c r="T131" s="20" t="n"/>
      <c r="U131" s="20" t="n"/>
      <c r="V131" s="12" t="n"/>
      <c r="W131" s="12" t="n"/>
      <c r="X131" s="18">
        <f>IF($E131="","",IF(AND($B131&lt;&gt;"",ISNA(MATCH($B131,机构表,0))),"※机构不在【资料】里",IF(AND($D131&lt;&gt;"",ISNA(MATCH($D131,状态表,0))),"※状态不在【资料】里",IF(N($M131)&gt;N($L131),"※已还本金大于典当金额",IF(AND($I131&lt;&gt;"",$J131&lt;&gt;"",$J131&lt;$I131),"※到期日早于当票日期",IF(AND($H131&lt;&gt;"",COUNTIF($H$4:$H$403,$H131)&gt;1),"※当票号在本表里出现了不止一次",IF(AND($L131&lt;&gt;"",$E131=""),"※有金额没写客户","")))))))</f>
        <v/>
      </c>
    </row>
    <row r="132">
      <c r="A132" s="18">
        <f>IF($E132="","",COUNTA($E$4:$E132))</f>
        <v/>
      </c>
      <c r="B132" s="12" t="inlineStr">
        <is>
          <t>金辉典当</t>
        </is>
      </c>
      <c r="C132" s="12" t="inlineStr">
        <is>
          <t>房产</t>
        </is>
      </c>
      <c r="D132" s="12" t="inlineStr">
        <is>
          <t>起诉</t>
        </is>
      </c>
      <c r="E132" s="12" t="inlineStr">
        <is>
          <t>王建南</t>
        </is>
      </c>
      <c r="F132" s="12" t="n"/>
      <c r="G132" s="12" t="n"/>
      <c r="H132" s="12" t="inlineStr">
        <is>
          <t>3519252753</t>
        </is>
      </c>
      <c r="I132" s="19" t="n">
        <v>45574</v>
      </c>
      <c r="J132" s="19" t="n">
        <v>45663</v>
      </c>
      <c r="K132" s="19" t="n">
        <v>45575</v>
      </c>
      <c r="L132" s="20" t="n">
        <v>150000</v>
      </c>
      <c r="M132" s="20" t="n"/>
      <c r="N132" s="22">
        <f>IF($E132="","",ROUND(N($L132)-N($M132),2))</f>
        <v/>
      </c>
      <c r="O132" s="21" t="n">
        <v>0.025</v>
      </c>
      <c r="P132" s="20" t="n">
        <v>8500</v>
      </c>
      <c r="Q132" s="12" t="inlineStr">
        <is>
          <t>5</t>
        </is>
      </c>
      <c r="R132" s="19" t="n">
        <v>45782</v>
      </c>
      <c r="S132" s="20" t="n"/>
      <c r="T132" s="20" t="n"/>
      <c r="U132" s="20" t="n"/>
      <c r="V132" s="12" t="inlineStr">
        <is>
          <t>先息</t>
        </is>
      </c>
      <c r="W132" s="12" t="n"/>
      <c r="X132" s="18">
        <f>IF($E132="","",IF(AND($B132&lt;&gt;"",ISNA(MATCH($B132,机构表,0))),"※机构不在【资料】里",IF(AND($D132&lt;&gt;"",ISNA(MATCH($D132,状态表,0))),"※状态不在【资料】里",IF(N($M132)&gt;N($L132),"※已还本金大于典当金额",IF(AND($I132&lt;&gt;"",$J132&lt;&gt;"",$J132&lt;$I132),"※到期日早于当票日期",IF(AND($H132&lt;&gt;"",COUNTIF($H$4:$H$403,$H132)&gt;1),"※当票号在本表里出现了不止一次",IF(AND($L132&lt;&gt;"",$E132=""),"※有金额没写客户","")))))))</f>
        <v/>
      </c>
    </row>
    <row r="133">
      <c r="A133" s="18">
        <f>IF($E133="","",COUNTA($E$4:$E133))</f>
        <v/>
      </c>
      <c r="B133" s="12" t="inlineStr">
        <is>
          <t>金辉典当</t>
        </is>
      </c>
      <c r="C133" s="12" t="inlineStr">
        <is>
          <t>房产</t>
        </is>
      </c>
      <c r="D133" s="12" t="inlineStr">
        <is>
          <t>在当</t>
        </is>
      </c>
      <c r="E133" s="12" t="inlineStr">
        <is>
          <t>王晶琰</t>
        </is>
      </c>
      <c r="F133" s="12" t="n"/>
      <c r="G133" s="12" t="n"/>
      <c r="H133" s="12" t="n"/>
      <c r="I133" s="19" t="n">
        <v>45964</v>
      </c>
      <c r="J133" s="19" t="n">
        <v>45778</v>
      </c>
      <c r="K133" s="19" t="n"/>
      <c r="L133" s="20" t="n">
        <v>300000</v>
      </c>
      <c r="M133" s="20" t="n"/>
      <c r="N133" s="22">
        <f>IF($E133="","",ROUND(N($L133)-N($M133),2))</f>
        <v/>
      </c>
      <c r="O133" s="21" t="n">
        <v>0.018</v>
      </c>
      <c r="P133" s="20" t="n">
        <v>5400</v>
      </c>
      <c r="Q133" s="12" t="inlineStr">
        <is>
          <t>3</t>
        </is>
      </c>
      <c r="R133" s="19" t="n">
        <v>46268</v>
      </c>
      <c r="S133" s="20" t="n"/>
      <c r="T133" s="20" t="n"/>
      <c r="U133" s="20" t="n"/>
      <c r="V133" s="12" t="inlineStr">
        <is>
          <t>后息</t>
        </is>
      </c>
      <c r="W133" s="12" t="inlineStr">
        <is>
          <t>个人账户收款5400元/月，转彭茂勇2400元/月</t>
        </is>
      </c>
      <c r="X133" s="18">
        <f>IF($E133="","",IF(AND($B133&lt;&gt;"",ISNA(MATCH($B133,机构表,0))),"※机构不在【资料】里",IF(AND($D133&lt;&gt;"",ISNA(MATCH($D133,状态表,0))),"※状态不在【资料】里",IF(N($M133)&gt;N($L133),"※已还本金大于典当金额",IF(AND($I133&lt;&gt;"",$J133&lt;&gt;"",$J133&lt;$I133),"※到期日早于当票日期",IF(AND($H133&lt;&gt;"",COUNTIF($H$4:$H$403,$H133)&gt;1),"※当票号在本表里出现了不止一次",IF(AND($L133&lt;&gt;"",$E133=""),"※有金额没写客户","")))))))</f>
        <v/>
      </c>
    </row>
    <row r="134">
      <c r="A134" s="18">
        <f>IF($E134="","",COUNTA($E$4:$E134))</f>
        <v/>
      </c>
      <c r="B134" s="12" t="inlineStr">
        <is>
          <t>个人典当</t>
        </is>
      </c>
      <c r="C134" s="12" t="inlineStr">
        <is>
          <t>黄金</t>
        </is>
      </c>
      <c r="D134" s="12" t="inlineStr">
        <is>
          <t>在当</t>
        </is>
      </c>
      <c r="E134" s="12" t="inlineStr">
        <is>
          <t>王娟</t>
        </is>
      </c>
      <c r="F134" s="12" t="n"/>
      <c r="G134" s="12" t="n"/>
      <c r="H134" s="12" t="n"/>
      <c r="I134" s="19" t="n"/>
      <c r="J134" s="19" t="n"/>
      <c r="K134" s="19" t="n">
        <v>46257</v>
      </c>
      <c r="L134" s="20" t="n">
        <v>120000</v>
      </c>
      <c r="M134" s="20" t="n"/>
      <c r="N134" s="22">
        <f>IF($E134="","",ROUND(N($L134)-N($M134),2))</f>
        <v/>
      </c>
      <c r="O134" s="21" t="n"/>
      <c r="P134" s="20" t="n">
        <v>1800</v>
      </c>
      <c r="Q134" s="12" t="inlineStr">
        <is>
          <t>21</t>
        </is>
      </c>
      <c r="R134" s="19" t="n">
        <v>46286</v>
      </c>
      <c r="S134" s="20" t="n"/>
      <c r="T134" s="20" t="n"/>
      <c r="U134" s="20" t="n"/>
      <c r="V134" s="12" t="n"/>
      <c r="W134" s="12" t="n"/>
      <c r="X134" s="18">
        <f>IF($E134="","",IF(AND($B134&lt;&gt;"",ISNA(MATCH($B134,机构表,0))),"※机构不在【资料】里",IF(AND($D134&lt;&gt;"",ISNA(MATCH($D134,状态表,0))),"※状态不在【资料】里",IF(N($M134)&gt;N($L134),"※已还本金大于典当金额",IF(AND($I134&lt;&gt;"",$J134&lt;&gt;"",$J134&lt;$I134),"※到期日早于当票日期",IF(AND($H134&lt;&gt;"",COUNTIF($H$4:$H$403,$H134)&gt;1),"※当票号在本表里出现了不止一次",IF(AND($L134&lt;&gt;"",$E134=""),"※有金额没写客户","")))))))</f>
        <v/>
      </c>
    </row>
    <row r="135">
      <c r="A135" s="18">
        <f>IF($E135="","",COUNTA($E$4:$E135))</f>
        <v/>
      </c>
      <c r="B135" s="12" t="inlineStr">
        <is>
          <t>个人典当</t>
        </is>
      </c>
      <c r="C135" s="12" t="inlineStr">
        <is>
          <t>私人借款</t>
        </is>
      </c>
      <c r="D135" s="12" t="inlineStr">
        <is>
          <t>逾期-未起诉</t>
        </is>
      </c>
      <c r="E135" s="12" t="inlineStr">
        <is>
          <t>王鹭杭</t>
        </is>
      </c>
      <c r="F135" s="12" t="n"/>
      <c r="G135" s="12" t="n"/>
      <c r="H135" s="12" t="n"/>
      <c r="I135" s="19" t="n"/>
      <c r="J135" s="19" t="n"/>
      <c r="K135" s="19" t="n">
        <v>45649</v>
      </c>
      <c r="L135" s="20" t="n">
        <v>30000</v>
      </c>
      <c r="M135" s="20" t="n"/>
      <c r="N135" s="22">
        <f>IF($E135="","",ROUND(N($L135)-N($M135),2))</f>
        <v/>
      </c>
      <c r="O135" s="21" t="n"/>
      <c r="P135" s="20" t="n"/>
      <c r="Q135" s="12" t="inlineStr">
        <is>
          <t>25</t>
        </is>
      </c>
      <c r="R135" s="19" t="n">
        <v>46228</v>
      </c>
      <c r="S135" s="20" t="n"/>
      <c r="T135" s="20" t="n"/>
      <c r="U135" s="20" t="n"/>
      <c r="V135" s="12" t="n"/>
      <c r="W135" s="12" t="n"/>
      <c r="X135" s="18">
        <f>IF($E135="","",IF(AND($B135&lt;&gt;"",ISNA(MATCH($B135,机构表,0))),"※机构不在【资料】里",IF(AND($D135&lt;&gt;"",ISNA(MATCH($D135,状态表,0))),"※状态不在【资料】里",IF(N($M135)&gt;N($L135),"※已还本金大于典当金额",IF(AND($I135&lt;&gt;"",$J135&lt;&gt;"",$J135&lt;$I135),"※到期日早于当票日期",IF(AND($H135&lt;&gt;"",COUNTIF($H$4:$H$403,$H135)&gt;1),"※当票号在本表里出现了不止一次",IF(AND($L135&lt;&gt;"",$E135=""),"※有金额没写客户","")))))))</f>
        <v/>
      </c>
    </row>
    <row r="136">
      <c r="A136" s="18">
        <f>IF($E136="","",COUNTA($E$4:$E136))</f>
        <v/>
      </c>
      <c r="B136" s="12" t="inlineStr">
        <is>
          <t>个人典当</t>
        </is>
      </c>
      <c r="C136" s="12" t="inlineStr">
        <is>
          <t>黄金</t>
        </is>
      </c>
      <c r="D136" s="12" t="inlineStr">
        <is>
          <t>在当</t>
        </is>
      </c>
      <c r="E136" s="12" t="inlineStr">
        <is>
          <t>王楠鑫</t>
        </is>
      </c>
      <c r="F136" s="12" t="n"/>
      <c r="G136" s="12" t="n"/>
      <c r="H136" s="12" t="n"/>
      <c r="I136" s="19" t="n"/>
      <c r="J136" s="19" t="n"/>
      <c r="K136" s="19" t="n">
        <v>46249</v>
      </c>
      <c r="L136" s="20" t="n">
        <v>12000</v>
      </c>
      <c r="M136" s="20" t="n"/>
      <c r="N136" s="22">
        <f>IF($E136="","",ROUND(N($L136)-N($M136),2))</f>
        <v/>
      </c>
      <c r="O136" s="21" t="n"/>
      <c r="P136" s="20" t="n">
        <v>300</v>
      </c>
      <c r="Q136" s="12" t="inlineStr">
        <is>
          <t>14</t>
        </is>
      </c>
      <c r="R136" s="19" t="n">
        <v>46279</v>
      </c>
      <c r="S136" s="20" t="n"/>
      <c r="T136" s="20" t="n"/>
      <c r="U136" s="20" t="n"/>
      <c r="V136" s="12" t="n"/>
      <c r="W136" s="12" t="n"/>
      <c r="X136" s="18">
        <f>IF($E136="","",IF(AND($B136&lt;&gt;"",ISNA(MATCH($B136,机构表,0))),"※机构不在【资料】里",IF(AND($D136&lt;&gt;"",ISNA(MATCH($D136,状态表,0))),"※状态不在【资料】里",IF(N($M136)&gt;N($L136),"※已还本金大于典当金额",IF(AND($I136&lt;&gt;"",$J136&lt;&gt;"",$J136&lt;$I136),"※到期日早于当票日期",IF(AND($H136&lt;&gt;"",COUNTIF($H$4:$H$403,$H136)&gt;1),"※当票号在本表里出现了不止一次",IF(AND($L136&lt;&gt;"",$E136=""),"※有金额没写客户","")))))))</f>
        <v/>
      </c>
    </row>
    <row r="137">
      <c r="A137" s="18">
        <f>IF($E137="","",COUNTA($E$4:$E137))</f>
        <v/>
      </c>
      <c r="B137" s="12" t="inlineStr">
        <is>
          <t>个人典当</t>
        </is>
      </c>
      <c r="C137" s="12" t="inlineStr">
        <is>
          <t>黄金</t>
        </is>
      </c>
      <c r="D137" s="12" t="inlineStr">
        <is>
          <t>在当</t>
        </is>
      </c>
      <c r="E137" s="12" t="inlineStr">
        <is>
          <t>王楠鑫</t>
        </is>
      </c>
      <c r="F137" s="12" t="n"/>
      <c r="G137" s="12" t="n"/>
      <c r="H137" s="12" t="n"/>
      <c r="I137" s="19" t="n"/>
      <c r="J137" s="19" t="n"/>
      <c r="K137" s="19" t="n">
        <v>46258</v>
      </c>
      <c r="L137" s="20" t="n">
        <v>6500</v>
      </c>
      <c r="M137" s="20" t="n"/>
      <c r="N137" s="22">
        <f>IF($E137="","",ROUND(N($L137)-N($M137),2))</f>
        <v/>
      </c>
      <c r="O137" s="21" t="n"/>
      <c r="P137" s="20" t="n">
        <v>200</v>
      </c>
      <c r="Q137" s="12" t="inlineStr">
        <is>
          <t>22</t>
        </is>
      </c>
      <c r="R137" s="19" t="n">
        <v>46287</v>
      </c>
      <c r="S137" s="20" t="n"/>
      <c r="T137" s="20" t="n"/>
      <c r="U137" s="20" t="n"/>
      <c r="V137" s="12" t="n"/>
      <c r="W137" s="12" t="n"/>
      <c r="X137" s="18">
        <f>IF($E137="","",IF(AND($B137&lt;&gt;"",ISNA(MATCH($B137,机构表,0))),"※机构不在【资料】里",IF(AND($D137&lt;&gt;"",ISNA(MATCH($D137,状态表,0))),"※状态不在【资料】里",IF(N($M137)&gt;N($L137),"※已还本金大于典当金额",IF(AND($I137&lt;&gt;"",$J137&lt;&gt;"",$J137&lt;$I137),"※到期日早于当票日期",IF(AND($H137&lt;&gt;"",COUNTIF($H$4:$H$403,$H137)&gt;1),"※当票号在本表里出现了不止一次",IF(AND($L137&lt;&gt;"",$E137=""),"※有金额没写客户","")))))))</f>
        <v/>
      </c>
    </row>
    <row r="138">
      <c r="A138" s="18">
        <f>IF($E138="","",COUNTA($E$4:$E138))</f>
        <v/>
      </c>
      <c r="B138" s="12" t="inlineStr">
        <is>
          <t>金辉典当</t>
        </is>
      </c>
      <c r="C138" s="12" t="inlineStr">
        <is>
          <t>房产</t>
        </is>
      </c>
      <c r="D138" s="12" t="inlineStr">
        <is>
          <t>起诉</t>
        </is>
      </c>
      <c r="E138" s="12" t="inlineStr">
        <is>
          <t>王晓红</t>
        </is>
      </c>
      <c r="F138" s="12" t="n"/>
      <c r="G138" s="12" t="n"/>
      <c r="H138" s="12" t="inlineStr">
        <is>
          <t>3519123861</t>
        </is>
      </c>
      <c r="I138" s="19" t="n">
        <v>44456</v>
      </c>
      <c r="J138" s="19" t="n"/>
      <c r="K138" s="19" t="n">
        <v>45247</v>
      </c>
      <c r="L138" s="20" t="n">
        <v>70000</v>
      </c>
      <c r="M138" s="20" t="n"/>
      <c r="N138" s="22">
        <f>IF($E138="","",ROUND(N($L138)-N($M138),2))</f>
        <v/>
      </c>
      <c r="O138" s="21" t="n">
        <v>0.025</v>
      </c>
      <c r="P138" s="20" t="n">
        <v>1750</v>
      </c>
      <c r="Q138" s="12" t="inlineStr">
        <is>
          <t>12</t>
        </is>
      </c>
      <c r="R138" s="19" t="n">
        <v>45700</v>
      </c>
      <c r="S138" s="20" t="n"/>
      <c r="T138" s="20" t="n"/>
      <c r="U138" s="20" t="n">
        <v>1750</v>
      </c>
      <c r="V138" s="12" t="inlineStr">
        <is>
          <t>先息</t>
        </is>
      </c>
      <c r="W138" s="12" t="n"/>
      <c r="X138" s="18">
        <f>IF($E138="","",IF(AND($B138&lt;&gt;"",ISNA(MATCH($B138,机构表,0))),"※机构不在【资料】里",IF(AND($D138&lt;&gt;"",ISNA(MATCH($D138,状态表,0))),"※状态不在【资料】里",IF(N($M138)&gt;N($L138),"※已还本金大于典当金额",IF(AND($I138&lt;&gt;"",$J138&lt;&gt;"",$J138&lt;$I138),"※到期日早于当票日期",IF(AND($H138&lt;&gt;"",COUNTIF($H$4:$H$403,$H138)&gt;1),"※当票号在本表里出现了不止一次",IF(AND($L138&lt;&gt;"",$E138=""),"※有金额没写客户","")))))))</f>
        <v/>
      </c>
    </row>
    <row r="139">
      <c r="A139" s="18">
        <f>IF($E139="","",COUNTA($E$4:$E139))</f>
        <v/>
      </c>
      <c r="B139" s="12" t="inlineStr">
        <is>
          <t>金辉典当</t>
        </is>
      </c>
      <c r="C139" s="12" t="inlineStr">
        <is>
          <t>车位</t>
        </is>
      </c>
      <c r="D139" s="12" t="inlineStr">
        <is>
          <t>在当</t>
        </is>
      </c>
      <c r="E139" s="12" t="inlineStr">
        <is>
          <t>王毅</t>
        </is>
      </c>
      <c r="F139" s="12" t="n"/>
      <c r="G139" s="12" t="n"/>
      <c r="H139" s="12" t="inlineStr">
        <is>
          <t>3519252784</t>
        </is>
      </c>
      <c r="I139" s="19" t="n">
        <v>45754</v>
      </c>
      <c r="J139" s="19" t="n">
        <v>45933</v>
      </c>
      <c r="K139" s="19" t="n"/>
      <c r="L139" s="20" t="n">
        <v>40000</v>
      </c>
      <c r="M139" s="20" t="n"/>
      <c r="N139" s="22">
        <f>IF($E139="","",ROUND(N($L139)-N($M139),2))</f>
        <v/>
      </c>
      <c r="O139" s="21" t="n">
        <v>0.025</v>
      </c>
      <c r="P139" s="20" t="n">
        <v>1000</v>
      </c>
      <c r="Q139" s="12" t="inlineStr">
        <is>
          <t>5</t>
        </is>
      </c>
      <c r="R139" s="19" t="n">
        <v>46147</v>
      </c>
      <c r="S139" s="20" t="n"/>
      <c r="T139" s="20" t="n"/>
      <c r="U139" s="20" t="n"/>
      <c r="V139" s="12" t="inlineStr">
        <is>
          <t>先息</t>
        </is>
      </c>
      <c r="W139" s="12" t="n"/>
      <c r="X139" s="18">
        <f>IF($E139="","",IF(AND($B139&lt;&gt;"",ISNA(MATCH($B139,机构表,0))),"※机构不在【资料】里",IF(AND($D139&lt;&gt;"",ISNA(MATCH($D139,状态表,0))),"※状态不在【资料】里",IF(N($M139)&gt;N($L139),"※已还本金大于典当金额",IF(AND($I139&lt;&gt;"",$J139&lt;&gt;"",$J139&lt;$I139),"※到期日早于当票日期",IF(AND($H139&lt;&gt;"",COUNTIF($H$4:$H$403,$H139)&gt;1),"※当票号在本表里出现了不止一次",IF(AND($L139&lt;&gt;"",$E139=""),"※有金额没写客户","")))))))</f>
        <v/>
      </c>
    </row>
    <row r="140">
      <c r="A140" s="18">
        <f>IF($E140="","",COUNTA($E$4:$E140))</f>
        <v/>
      </c>
      <c r="B140" s="12" t="inlineStr">
        <is>
          <t>个人典当</t>
        </is>
      </c>
      <c r="C140" s="12" t="inlineStr">
        <is>
          <t>黄金</t>
        </is>
      </c>
      <c r="D140" s="12" t="inlineStr">
        <is>
          <t>在当</t>
        </is>
      </c>
      <c r="E140" s="12" t="inlineStr">
        <is>
          <t>魏成龙</t>
        </is>
      </c>
      <c r="F140" s="12" t="n"/>
      <c r="G140" s="12" t="n"/>
      <c r="H140" s="12" t="n"/>
      <c r="I140" s="19" t="n"/>
      <c r="J140" s="19" t="n">
        <v>45836</v>
      </c>
      <c r="K140" s="19" t="n">
        <v>45806</v>
      </c>
      <c r="L140" s="20" t="n">
        <v>40000</v>
      </c>
      <c r="M140" s="20" t="n"/>
      <c r="N140" s="22">
        <f>IF($E140="","",ROUND(N($L140)-N($M140),2))</f>
        <v/>
      </c>
      <c r="O140" s="21" t="n"/>
      <c r="P140" s="20" t="n">
        <v>1000</v>
      </c>
      <c r="Q140" s="12" t="inlineStr">
        <is>
          <t>28</t>
        </is>
      </c>
      <c r="R140" s="19" t="n">
        <v>46293</v>
      </c>
      <c r="S140" s="20" t="n"/>
      <c r="T140" s="20" t="n"/>
      <c r="U140" s="20" t="n"/>
      <c r="V140" s="12" t="n"/>
      <c r="W140" s="12" t="n"/>
      <c r="X140" s="18">
        <f>IF($E140="","",IF(AND($B140&lt;&gt;"",ISNA(MATCH($B140,机构表,0))),"※机构不在【资料】里",IF(AND($D140&lt;&gt;"",ISNA(MATCH($D140,状态表,0))),"※状态不在【资料】里",IF(N($M140)&gt;N($L140),"※已还本金大于典当金额",IF(AND($I140&lt;&gt;"",$J140&lt;&gt;"",$J140&lt;$I140),"※到期日早于当票日期",IF(AND($H140&lt;&gt;"",COUNTIF($H$4:$H$403,$H140)&gt;1),"※当票号在本表里出现了不止一次",IF(AND($L140&lt;&gt;"",$E140=""),"※有金额没写客户","")))))))</f>
        <v/>
      </c>
    </row>
    <row r="141">
      <c r="A141" s="18">
        <f>IF($E141="","",COUNTA($E$4:$E141))</f>
        <v/>
      </c>
      <c r="B141" s="12" t="inlineStr">
        <is>
          <t>金辉典当</t>
        </is>
      </c>
      <c r="C141" s="12" t="inlineStr">
        <is>
          <t>包包</t>
        </is>
      </c>
      <c r="D141" s="12" t="inlineStr">
        <is>
          <t>在当</t>
        </is>
      </c>
      <c r="E141" s="12" t="inlineStr">
        <is>
          <t>魏洁</t>
        </is>
      </c>
      <c r="F141" s="12" t="n"/>
      <c r="G141" s="12" t="n"/>
      <c r="H141" s="12" t="inlineStr">
        <is>
          <t>3519260525</t>
        </is>
      </c>
      <c r="I141" s="19" t="n">
        <v>46156</v>
      </c>
      <c r="J141" s="19" t="n">
        <v>46185</v>
      </c>
      <c r="K141" s="19" t="n"/>
      <c r="L141" s="20" t="n">
        <v>100000</v>
      </c>
      <c r="M141" s="20" t="n"/>
      <c r="N141" s="22">
        <f>IF($E141="","",ROUND(N($L141)-N($M141),2))</f>
        <v/>
      </c>
      <c r="O141" s="21" t="n">
        <v>0.005</v>
      </c>
      <c r="P141" s="20" t="n">
        <v>3000</v>
      </c>
      <c r="Q141" s="12" t="inlineStr">
        <is>
          <t>12</t>
        </is>
      </c>
      <c r="R141" s="19" t="n">
        <v>46277</v>
      </c>
      <c r="S141" s="20" t="n">
        <v>500</v>
      </c>
      <c r="T141" s="20" t="n"/>
      <c r="U141" s="20" t="n"/>
      <c r="V141" s="12" t="n"/>
      <c r="W141" s="12" t="n"/>
      <c r="X141" s="18">
        <f>IF($E141="","",IF(AND($B141&lt;&gt;"",ISNA(MATCH($B141,机构表,0))),"※机构不在【资料】里",IF(AND($D141&lt;&gt;"",ISNA(MATCH($D141,状态表,0))),"※状态不在【资料】里",IF(N($M141)&gt;N($L141),"※已还本金大于典当金额",IF(AND($I141&lt;&gt;"",$J141&lt;&gt;"",$J141&lt;$I141),"※到期日早于当票日期",IF(AND($H141&lt;&gt;"",COUNTIF($H$4:$H$403,$H141)&gt;1),"※当票号在本表里出现了不止一次",IF(AND($L141&lt;&gt;"",$E141=""),"※有金额没写客户","")))))))</f>
        <v/>
      </c>
    </row>
    <row r="142">
      <c r="A142" s="18">
        <f>IF($E142="","",COUNTA($E$4:$E142))</f>
        <v/>
      </c>
      <c r="B142" s="12" t="inlineStr">
        <is>
          <t>金辉典当</t>
        </is>
      </c>
      <c r="C142" s="12" t="inlineStr">
        <is>
          <t>黄金</t>
        </is>
      </c>
      <c r="D142" s="12" t="inlineStr">
        <is>
          <t>虚当</t>
        </is>
      </c>
      <c r="E142" s="12" t="inlineStr">
        <is>
          <t>魏文冬</t>
        </is>
      </c>
      <c r="F142" s="12" t="n"/>
      <c r="G142" s="12" t="n"/>
      <c r="H142" s="12" t="inlineStr">
        <is>
          <t>3524019232</t>
        </is>
      </c>
      <c r="I142" s="19" t="n">
        <v>46182</v>
      </c>
      <c r="J142" s="19" t="n">
        <v>46211</v>
      </c>
      <c r="K142" s="19" t="n"/>
      <c r="L142" s="20" t="n">
        <v>350000</v>
      </c>
      <c r="M142" s="20" t="n"/>
      <c r="N142" s="22">
        <f>IF($E142="","",ROUND(N($L142)-N($M142),2))</f>
        <v/>
      </c>
      <c r="O142" s="21" t="n">
        <v>0.001</v>
      </c>
      <c r="P142" s="20" t="n">
        <v>350</v>
      </c>
      <c r="Q142" s="12" t="n"/>
      <c r="R142" s="19" t="n">
        <v>46182</v>
      </c>
      <c r="S142" s="20" t="n"/>
      <c r="T142" s="20" t="n"/>
      <c r="U142" s="20" t="n"/>
      <c r="V142" s="12" t="n"/>
      <c r="W142" s="12" t="n"/>
      <c r="X142" s="18">
        <f>IF($E142="","",IF(AND($B142&lt;&gt;"",ISNA(MATCH($B142,机构表,0))),"※机构不在【资料】里",IF(AND($D142&lt;&gt;"",ISNA(MATCH($D142,状态表,0))),"※状态不在【资料】里",IF(N($M142)&gt;N($L142),"※已还本金大于典当金额",IF(AND($I142&lt;&gt;"",$J142&lt;&gt;"",$J142&lt;$I142),"※到期日早于当票日期",IF(AND($H142&lt;&gt;"",COUNTIF($H$4:$H$403,$H142)&gt;1),"※当票号在本表里出现了不止一次",IF(AND($L142&lt;&gt;"",$E142=""),"※有金额没写客户","")))))))</f>
        <v/>
      </c>
    </row>
    <row r="143">
      <c r="A143" s="18">
        <f>IF($E143="","",COUNTA($E$4:$E143))</f>
        <v/>
      </c>
      <c r="B143" s="12" t="inlineStr">
        <is>
          <t>个人典当</t>
        </is>
      </c>
      <c r="C143" s="12" t="inlineStr">
        <is>
          <t>黄金</t>
        </is>
      </c>
      <c r="D143" s="12" t="inlineStr">
        <is>
          <t>在当</t>
        </is>
      </c>
      <c r="E143" s="12" t="inlineStr">
        <is>
          <t>翁嘉明</t>
        </is>
      </c>
      <c r="F143" s="12" t="n"/>
      <c r="G143" s="12" t="n"/>
      <c r="H143" s="12" t="n"/>
      <c r="I143" s="19" t="n"/>
      <c r="J143" s="19" t="n"/>
      <c r="K143" s="19" t="n">
        <v>46217</v>
      </c>
      <c r="L143" s="20" t="n">
        <v>23000</v>
      </c>
      <c r="M143" s="20" t="n"/>
      <c r="N143" s="22">
        <f>IF($E143="","",ROUND(N($L143)-N($M143),2))</f>
        <v/>
      </c>
      <c r="O143" s="21" t="n"/>
      <c r="P143" s="20" t="n">
        <v>700</v>
      </c>
      <c r="Q143" s="12" t="inlineStr">
        <is>
          <t>12</t>
        </is>
      </c>
      <c r="R143" s="19" t="n">
        <v>46277</v>
      </c>
      <c r="S143" s="20" t="n"/>
      <c r="T143" s="20" t="n"/>
      <c r="U143" s="20" t="n"/>
      <c r="V143" s="12" t="n"/>
      <c r="W143" s="12" t="n"/>
      <c r="X143" s="18">
        <f>IF($E143="","",IF(AND($B143&lt;&gt;"",ISNA(MATCH($B143,机构表,0))),"※机构不在【资料】里",IF(AND($D143&lt;&gt;"",ISNA(MATCH($D143,状态表,0))),"※状态不在【资料】里",IF(N($M143)&gt;N($L143),"※已还本金大于典当金额",IF(AND($I143&lt;&gt;"",$J143&lt;&gt;"",$J143&lt;$I143),"※到期日早于当票日期",IF(AND($H143&lt;&gt;"",COUNTIF($H$4:$H$403,$H143)&gt;1),"※当票号在本表里出现了不止一次",IF(AND($L143&lt;&gt;"",$E143=""),"※有金额没写客户","")))))))</f>
        <v/>
      </c>
    </row>
    <row r="144">
      <c r="A144" s="18">
        <f>IF($E144="","",COUNTA($E$4:$E144))</f>
        <v/>
      </c>
      <c r="B144" s="12" t="inlineStr">
        <is>
          <t>个人典当</t>
        </is>
      </c>
      <c r="C144" s="12" t="inlineStr">
        <is>
          <t>私人借款</t>
        </is>
      </c>
      <c r="D144" s="12" t="inlineStr">
        <is>
          <t>起诉</t>
        </is>
      </c>
      <c r="E144" s="12" t="inlineStr">
        <is>
          <t>吴彬</t>
        </is>
      </c>
      <c r="F144" s="12" t="n"/>
      <c r="G144" s="12" t="n"/>
      <c r="H144" s="12" t="n"/>
      <c r="I144" s="19" t="n"/>
      <c r="J144" s="19" t="n"/>
      <c r="K144" s="19" t="n">
        <v>44978</v>
      </c>
      <c r="L144" s="20" t="n">
        <v>850000</v>
      </c>
      <c r="M144" s="20" t="n"/>
      <c r="N144" s="22">
        <f>IF($E144="","",ROUND(N($L144)-N($M144),2))</f>
        <v/>
      </c>
      <c r="O144" s="21" t="n"/>
      <c r="P144" s="20" t="n"/>
      <c r="Q144" s="12" t="n"/>
      <c r="R144" s="19" t="n"/>
      <c r="S144" s="20" t="n"/>
      <c r="T144" s="20" t="n"/>
      <c r="U144" s="20" t="n"/>
      <c r="V144" s="12" t="n"/>
      <c r="W144" s="12" t="inlineStr">
        <is>
          <t>无法回款</t>
        </is>
      </c>
      <c r="X144" s="18">
        <f>IF($E144="","",IF(AND($B144&lt;&gt;"",ISNA(MATCH($B144,机构表,0))),"※机构不在【资料】里",IF(AND($D144&lt;&gt;"",ISNA(MATCH($D144,状态表,0))),"※状态不在【资料】里",IF(N($M144)&gt;N($L144),"※已还本金大于典当金额",IF(AND($I144&lt;&gt;"",$J144&lt;&gt;"",$J144&lt;$I144),"※到期日早于当票日期",IF(AND($H144&lt;&gt;"",COUNTIF($H$4:$H$403,$H144)&gt;1),"※当票号在本表里出现了不止一次",IF(AND($L144&lt;&gt;"",$E144=""),"※有金额没写客户","")))))))</f>
        <v/>
      </c>
    </row>
    <row r="145">
      <c r="A145" s="18">
        <f>IF($E145="","",COUNTA($E$4:$E145))</f>
        <v/>
      </c>
      <c r="B145" s="12" t="inlineStr">
        <is>
          <t>个人典当</t>
        </is>
      </c>
      <c r="C145" s="12" t="inlineStr">
        <is>
          <t>私人借款</t>
        </is>
      </c>
      <c r="D145" s="12" t="inlineStr">
        <is>
          <t>在当</t>
        </is>
      </c>
      <c r="E145" s="12" t="inlineStr">
        <is>
          <t>吴吉翔</t>
        </is>
      </c>
      <c r="F145" s="12" t="n"/>
      <c r="G145" s="12" t="n"/>
      <c r="H145" s="12" t="n"/>
      <c r="I145" s="19" t="n"/>
      <c r="J145" s="19" t="n"/>
      <c r="K145" s="19" t="n">
        <v>45787</v>
      </c>
      <c r="L145" s="20" t="n">
        <v>23339</v>
      </c>
      <c r="M145" s="20" t="n"/>
      <c r="N145" s="22">
        <f>IF($E145="","",ROUND(N($L145)-N($M145),2))</f>
        <v/>
      </c>
      <c r="O145" s="21" t="n"/>
      <c r="P145" s="20" t="n">
        <v>1200</v>
      </c>
      <c r="Q145" s="12" t="inlineStr">
        <is>
          <t>9</t>
        </is>
      </c>
      <c r="R145" s="19" t="n">
        <v>46274</v>
      </c>
      <c r="S145" s="20" t="n"/>
      <c r="T145" s="20" t="n"/>
      <c r="U145" s="20" t="n"/>
      <c r="V145" s="12" t="n"/>
      <c r="W145" s="12" t="n"/>
      <c r="X145" s="18">
        <f>IF($E145="","",IF(AND($B145&lt;&gt;"",ISNA(MATCH($B145,机构表,0))),"※机构不在【资料】里",IF(AND($D145&lt;&gt;"",ISNA(MATCH($D145,状态表,0))),"※状态不在【资料】里",IF(N($M145)&gt;N($L145),"※已还本金大于典当金额",IF(AND($I145&lt;&gt;"",$J145&lt;&gt;"",$J145&lt;$I145),"※到期日早于当票日期",IF(AND($H145&lt;&gt;"",COUNTIF($H$4:$H$403,$H145)&gt;1),"※当票号在本表里出现了不止一次",IF(AND($L145&lt;&gt;"",$E145=""),"※有金额没写客户","")))))))</f>
        <v/>
      </c>
    </row>
    <row r="146">
      <c r="A146" s="18">
        <f>IF($E146="","",COUNTA($E$4:$E146))</f>
        <v/>
      </c>
      <c r="B146" s="12" t="inlineStr">
        <is>
          <t>个人典当</t>
        </is>
      </c>
      <c r="C146" s="12" t="inlineStr">
        <is>
          <t>黄金</t>
        </is>
      </c>
      <c r="D146" s="12" t="inlineStr">
        <is>
          <t>在当</t>
        </is>
      </c>
      <c r="E146" s="12" t="inlineStr">
        <is>
          <t>吴丽玲</t>
        </is>
      </c>
      <c r="F146" s="12" t="n"/>
      <c r="G146" s="12" t="n"/>
      <c r="H146" s="12" t="n"/>
      <c r="I146" s="19" t="n"/>
      <c r="J146" s="19" t="n"/>
      <c r="K146" s="19" t="n">
        <v>45928</v>
      </c>
      <c r="L146" s="20" t="n">
        <v>5000</v>
      </c>
      <c r="M146" s="20" t="n"/>
      <c r="N146" s="22">
        <f>IF($E146="","",ROUND(N($L146)-N($M146),2))</f>
        <v/>
      </c>
      <c r="O146" s="21" t="n"/>
      <c r="P146" s="20" t="n">
        <v>125</v>
      </c>
      <c r="Q146" s="12" t="inlineStr">
        <is>
          <t>27</t>
        </is>
      </c>
      <c r="R146" s="19" t="n">
        <v>46292</v>
      </c>
      <c r="S146" s="20" t="n"/>
      <c r="T146" s="20" t="n"/>
      <c r="U146" s="20" t="n"/>
      <c r="V146" s="12" t="n"/>
      <c r="W146" s="12" t="n"/>
      <c r="X146" s="18">
        <f>IF($E146="","",IF(AND($B146&lt;&gt;"",ISNA(MATCH($B146,机构表,0))),"※机构不在【资料】里",IF(AND($D146&lt;&gt;"",ISNA(MATCH($D146,状态表,0))),"※状态不在【资料】里",IF(N($M146)&gt;N($L146),"※已还本金大于典当金额",IF(AND($I146&lt;&gt;"",$J146&lt;&gt;"",$J146&lt;$I146),"※到期日早于当票日期",IF(AND($H146&lt;&gt;"",COUNTIF($H$4:$H$403,$H146)&gt;1),"※当票号在本表里出现了不止一次",IF(AND($L146&lt;&gt;"",$E146=""),"※有金额没写客户","")))))))</f>
        <v/>
      </c>
    </row>
    <row r="147">
      <c r="A147" s="18">
        <f>IF($E147="","",COUNTA($E$4:$E147))</f>
        <v/>
      </c>
      <c r="B147" s="12" t="inlineStr">
        <is>
          <t>金辉典当</t>
        </is>
      </c>
      <c r="C147" s="12" t="inlineStr">
        <is>
          <t>房产</t>
        </is>
      </c>
      <c r="D147" s="12" t="inlineStr">
        <is>
          <t>起诉</t>
        </is>
      </c>
      <c r="E147" s="12" t="inlineStr">
        <is>
          <t>吴灵铭</t>
        </is>
      </c>
      <c r="F147" s="12" t="n"/>
      <c r="G147" s="12" t="n"/>
      <c r="H147" s="12" t="n"/>
      <c r="I147" s="19" t="n">
        <v>44887</v>
      </c>
      <c r="J147" s="19" t="n"/>
      <c r="K147" s="19" t="n">
        <v>45220</v>
      </c>
      <c r="L147" s="20" t="n">
        <v>150000</v>
      </c>
      <c r="M147" s="20" t="n"/>
      <c r="N147" s="22">
        <f>IF($E147="","",ROUND(N($L147)-N($M147),2))</f>
        <v/>
      </c>
      <c r="O147" s="21" t="n">
        <v>0.01</v>
      </c>
      <c r="P147" s="20" t="n">
        <v>3750</v>
      </c>
      <c r="Q147" s="12" t="inlineStr">
        <is>
          <t>21</t>
        </is>
      </c>
      <c r="R147" s="19" t="n">
        <v>45190</v>
      </c>
      <c r="S147" s="20" t="n"/>
      <c r="T147" s="20" t="n"/>
      <c r="U147" s="20" t="n">
        <v>1500</v>
      </c>
      <c r="V147" s="12" t="inlineStr">
        <is>
          <t>先息</t>
        </is>
      </c>
      <c r="W147" s="12" t="n"/>
      <c r="X147" s="18">
        <f>IF($E147="","",IF(AND($B147&lt;&gt;"",ISNA(MATCH($B147,机构表,0))),"※机构不在【资料】里",IF(AND($D147&lt;&gt;"",ISNA(MATCH($D147,状态表,0))),"※状态不在【资料】里",IF(N($M147)&gt;N($L147),"※已还本金大于典当金额",IF(AND($I147&lt;&gt;"",$J147&lt;&gt;"",$J147&lt;$I147),"※到期日早于当票日期",IF(AND($H147&lt;&gt;"",COUNTIF($H$4:$H$403,$H147)&gt;1),"※当票号在本表里出现了不止一次",IF(AND($L147&lt;&gt;"",$E147=""),"※有金额没写客户","")))))))</f>
        <v/>
      </c>
    </row>
    <row r="148">
      <c r="A148" s="18">
        <f>IF($E148="","",COUNTA($E$4:$E148))</f>
        <v/>
      </c>
      <c r="B148" s="12" t="inlineStr">
        <is>
          <t>金辉典当</t>
        </is>
      </c>
      <c r="C148" s="12" t="inlineStr">
        <is>
          <t>房产</t>
        </is>
      </c>
      <c r="D148" s="12" t="inlineStr">
        <is>
          <t>起诉</t>
        </is>
      </c>
      <c r="E148" s="12" t="inlineStr">
        <is>
          <t>吴灵铭</t>
        </is>
      </c>
      <c r="F148" s="12" t="n"/>
      <c r="G148" s="12" t="n"/>
      <c r="H148" s="12" t="n"/>
      <c r="I148" s="19" t="n">
        <v>44888</v>
      </c>
      <c r="J148" s="19" t="n"/>
      <c r="K148" s="19" t="n">
        <v>45221</v>
      </c>
      <c r="L148" s="20" t="n">
        <v>150000</v>
      </c>
      <c r="M148" s="20" t="n"/>
      <c r="N148" s="22">
        <f>IF($E148="","",ROUND(N($L148)-N($M148),2))</f>
        <v/>
      </c>
      <c r="O148" s="21" t="n">
        <v>0.025</v>
      </c>
      <c r="P148" s="20" t="n">
        <v>3750</v>
      </c>
      <c r="Q148" s="12" t="inlineStr">
        <is>
          <t>22</t>
        </is>
      </c>
      <c r="R148" s="19" t="n">
        <v>45191</v>
      </c>
      <c r="S148" s="20" t="n"/>
      <c r="T148" s="20" t="n"/>
      <c r="U148" s="20" t="n">
        <v>3750</v>
      </c>
      <c r="V148" s="12" t="inlineStr">
        <is>
          <t>先息</t>
        </is>
      </c>
      <c r="W148" s="12" t="n"/>
      <c r="X148" s="18">
        <f>IF($E148="","",IF(AND($B148&lt;&gt;"",ISNA(MATCH($B148,机构表,0))),"※机构不在【资料】里",IF(AND($D148&lt;&gt;"",ISNA(MATCH($D148,状态表,0))),"※状态不在【资料】里",IF(N($M148)&gt;N($L148),"※已还本金大于典当金额",IF(AND($I148&lt;&gt;"",$J148&lt;&gt;"",$J148&lt;$I148),"※到期日早于当票日期",IF(AND($H148&lt;&gt;"",COUNTIF($H$4:$H$403,$H148)&gt;1),"※当票号在本表里出现了不止一次",IF(AND($L148&lt;&gt;"",$E148=""),"※有金额没写客户","")))))))</f>
        <v/>
      </c>
    </row>
    <row r="149">
      <c r="A149" s="18">
        <f>IF($E149="","",COUNTA($E$4:$E149))</f>
        <v/>
      </c>
      <c r="B149" s="12" t="inlineStr">
        <is>
          <t>个人典当</t>
        </is>
      </c>
      <c r="C149" s="12" t="inlineStr">
        <is>
          <t>手表</t>
        </is>
      </c>
      <c r="D149" s="12" t="inlineStr">
        <is>
          <t>在当</t>
        </is>
      </c>
      <c r="E149" s="12" t="inlineStr">
        <is>
          <t>吴水明</t>
        </is>
      </c>
      <c r="F149" s="12" t="n"/>
      <c r="G149" s="12" t="n"/>
      <c r="H149" s="12" t="n"/>
      <c r="I149" s="19" t="n"/>
      <c r="J149" s="19" t="n"/>
      <c r="K149" s="19" t="n">
        <v>46223</v>
      </c>
      <c r="L149" s="20" t="n">
        <v>8000</v>
      </c>
      <c r="M149" s="20" t="n"/>
      <c r="N149" s="22">
        <f>IF($E149="","",ROUND(N($L149)-N($M149),2))</f>
        <v/>
      </c>
      <c r="O149" s="21" t="n"/>
      <c r="P149" s="20" t="n">
        <v>200</v>
      </c>
      <c r="Q149" s="12" t="inlineStr">
        <is>
          <t>19</t>
        </is>
      </c>
      <c r="R149" s="19" t="n">
        <v>46284</v>
      </c>
      <c r="S149" s="20" t="n"/>
      <c r="T149" s="20" t="n"/>
      <c r="U149" s="20" t="n"/>
      <c r="V149" s="12" t="n"/>
      <c r="W149" s="12" t="n"/>
      <c r="X149" s="18">
        <f>IF($E149="","",IF(AND($B149&lt;&gt;"",ISNA(MATCH($B149,机构表,0))),"※机构不在【资料】里",IF(AND($D149&lt;&gt;"",ISNA(MATCH($D149,状态表,0))),"※状态不在【资料】里",IF(N($M149)&gt;N($L149),"※已还本金大于典当金额",IF(AND($I149&lt;&gt;"",$J149&lt;&gt;"",$J149&lt;$I149),"※到期日早于当票日期",IF(AND($H149&lt;&gt;"",COUNTIF($H$4:$H$403,$H149)&gt;1),"※当票号在本表里出现了不止一次",IF(AND($L149&lt;&gt;"",$E149=""),"※有金额没写客户","")))))))</f>
        <v/>
      </c>
    </row>
    <row r="150">
      <c r="A150" s="18">
        <f>IF($E150="","",COUNTA($E$4:$E150))</f>
        <v/>
      </c>
      <c r="B150" s="12" t="inlineStr">
        <is>
          <t>个人典当</t>
        </is>
      </c>
      <c r="C150" s="12" t="inlineStr">
        <is>
          <t>私人借款</t>
        </is>
      </c>
      <c r="D150" s="12" t="inlineStr">
        <is>
          <t>在当</t>
        </is>
      </c>
      <c r="E150" s="12" t="inlineStr">
        <is>
          <t>吴伟鸿</t>
        </is>
      </c>
      <c r="F150" s="12" t="n"/>
      <c r="G150" s="12" t="n"/>
      <c r="H150" s="12" t="n"/>
      <c r="I150" s="19" t="n"/>
      <c r="J150" s="19" t="n"/>
      <c r="K150" s="19" t="n">
        <v>45191</v>
      </c>
      <c r="L150" s="20" t="n">
        <v>30000</v>
      </c>
      <c r="M150" s="20" t="n"/>
      <c r="N150" s="22">
        <f>IF($E150="","",ROUND(N($L150)-N($M150),2))</f>
        <v/>
      </c>
      <c r="O150" s="21" t="n"/>
      <c r="P150" s="20" t="n">
        <v>600</v>
      </c>
      <c r="Q150" s="12" t="inlineStr">
        <is>
          <t>14</t>
        </is>
      </c>
      <c r="R150" s="19" t="n">
        <v>45944</v>
      </c>
      <c r="S150" s="20" t="n"/>
      <c r="T150" s="20" t="n"/>
      <c r="U150" s="20" t="n"/>
      <c r="V150" s="12" t="n"/>
      <c r="W150" s="12" t="n"/>
      <c r="X150" s="18">
        <f>IF($E150="","",IF(AND($B150&lt;&gt;"",ISNA(MATCH($B150,机构表,0))),"※机构不在【资料】里",IF(AND($D150&lt;&gt;"",ISNA(MATCH($D150,状态表,0))),"※状态不在【资料】里",IF(N($M150)&gt;N($L150),"※已还本金大于典当金额",IF(AND($I150&lt;&gt;"",$J150&lt;&gt;"",$J150&lt;$I150),"※到期日早于当票日期",IF(AND($H150&lt;&gt;"",COUNTIF($H$4:$H$403,$H150)&gt;1),"※当票号在本表里出现了不止一次",IF(AND($L150&lt;&gt;"",$E150=""),"※有金额没写客户","")))))))</f>
        <v/>
      </c>
    </row>
    <row r="151">
      <c r="A151" s="18">
        <f>IF($E151="","",COUNTA($E$4:$E151))</f>
        <v/>
      </c>
      <c r="B151" s="12" t="inlineStr">
        <is>
          <t>个人典当</t>
        </is>
      </c>
      <c r="C151" s="12" t="inlineStr">
        <is>
          <t>黄金</t>
        </is>
      </c>
      <c r="D151" s="12" t="inlineStr">
        <is>
          <t>在当</t>
        </is>
      </c>
      <c r="E151" s="12" t="inlineStr">
        <is>
          <t>夏薇薇</t>
        </is>
      </c>
      <c r="F151" s="12" t="n"/>
      <c r="G151" s="12" t="n"/>
      <c r="H151" s="12" t="n"/>
      <c r="I151" s="19" t="n"/>
      <c r="J151" s="19" t="n">
        <v>46114</v>
      </c>
      <c r="K151" s="19" t="n">
        <v>46083</v>
      </c>
      <c r="L151" s="20" t="n">
        <v>310000</v>
      </c>
      <c r="M151" s="20" t="n"/>
      <c r="N151" s="22">
        <f>IF($E151="","",ROUND(N($L151)-N($M151),2))</f>
        <v/>
      </c>
      <c r="O151" s="21" t="n"/>
      <c r="P151" s="20" t="n">
        <v>6210</v>
      </c>
      <c r="Q151" s="12" t="inlineStr">
        <is>
          <t>2</t>
        </is>
      </c>
      <c r="R151" s="19" t="n">
        <v>46267</v>
      </c>
      <c r="S151" s="20" t="n"/>
      <c r="T151" s="20" t="n"/>
      <c r="U151" s="20" t="n"/>
      <c r="V151" s="12" t="n"/>
      <c r="W151" s="12" t="n"/>
      <c r="X151" s="18">
        <f>IF($E151="","",IF(AND($B151&lt;&gt;"",ISNA(MATCH($B151,机构表,0))),"※机构不在【资料】里",IF(AND($D151&lt;&gt;"",ISNA(MATCH($D151,状态表,0))),"※状态不在【资料】里",IF(N($M151)&gt;N($L151),"※已还本金大于典当金额",IF(AND($I151&lt;&gt;"",$J151&lt;&gt;"",$J151&lt;$I151),"※到期日早于当票日期",IF(AND($H151&lt;&gt;"",COUNTIF($H$4:$H$403,$H151)&gt;1),"※当票号在本表里出现了不止一次",IF(AND($L151&lt;&gt;"",$E151=""),"※有金额没写客户","")))))))</f>
        <v/>
      </c>
    </row>
    <row r="152">
      <c r="A152" s="18">
        <f>IF($E152="","",COUNTA($E$4:$E152))</f>
        <v/>
      </c>
      <c r="B152" s="12" t="inlineStr">
        <is>
          <t>个人典当</t>
        </is>
      </c>
      <c r="C152" s="12" t="inlineStr">
        <is>
          <t>黄金</t>
        </is>
      </c>
      <c r="D152" s="12" t="inlineStr">
        <is>
          <t>在当</t>
        </is>
      </c>
      <c r="E152" s="12" t="inlineStr">
        <is>
          <t>谢恩正</t>
        </is>
      </c>
      <c r="F152" s="12" t="n"/>
      <c r="G152" s="12" t="n"/>
      <c r="H152" s="12" t="n"/>
      <c r="I152" s="19" t="n"/>
      <c r="J152" s="19" t="n"/>
      <c r="K152" s="19" t="n">
        <v>46263</v>
      </c>
      <c r="L152" s="20" t="n">
        <v>13000</v>
      </c>
      <c r="M152" s="20" t="n"/>
      <c r="N152" s="22">
        <f>IF($E152="","",ROUND(N($L152)-N($M152),2))</f>
        <v/>
      </c>
      <c r="O152" s="21" t="n"/>
      <c r="P152" s="20" t="n">
        <v>325</v>
      </c>
      <c r="Q152" s="12" t="inlineStr">
        <is>
          <t>27</t>
        </is>
      </c>
      <c r="R152" s="19" t="n">
        <v>46292</v>
      </c>
      <c r="S152" s="20" t="n"/>
      <c r="T152" s="20" t="n"/>
      <c r="U152" s="20" t="n"/>
      <c r="V152" s="12" t="n"/>
      <c r="W152" s="12" t="n"/>
      <c r="X152" s="18">
        <f>IF($E152="","",IF(AND($B152&lt;&gt;"",ISNA(MATCH($B152,机构表,0))),"※机构不在【资料】里",IF(AND($D152&lt;&gt;"",ISNA(MATCH($D152,状态表,0))),"※状态不在【资料】里",IF(N($M152)&gt;N($L152),"※已还本金大于典当金额",IF(AND($I152&lt;&gt;"",$J152&lt;&gt;"",$J152&lt;$I152),"※到期日早于当票日期",IF(AND($H152&lt;&gt;"",COUNTIF($H$4:$H$403,$H152)&gt;1),"※当票号在本表里出现了不止一次",IF(AND($L152&lt;&gt;"",$E152=""),"※有金额没写客户","")))))))</f>
        <v/>
      </c>
    </row>
    <row r="153">
      <c r="A153" s="18">
        <f>IF($E153="","",COUNTA($E$4:$E153))</f>
        <v/>
      </c>
      <c r="B153" s="12" t="inlineStr">
        <is>
          <t>个人典当</t>
        </is>
      </c>
      <c r="C153" s="12" t="inlineStr">
        <is>
          <t>手机</t>
        </is>
      </c>
      <c r="D153" s="12" t="inlineStr">
        <is>
          <t>在当</t>
        </is>
      </c>
      <c r="E153" s="12" t="inlineStr">
        <is>
          <t>谢恩正</t>
        </is>
      </c>
      <c r="F153" s="12" t="n"/>
      <c r="G153" s="12" t="n"/>
      <c r="H153" s="12" t="n"/>
      <c r="I153" s="19" t="n"/>
      <c r="J153" s="19" t="n"/>
      <c r="K153" s="19" t="n">
        <v>46269</v>
      </c>
      <c r="L153" s="20" t="n">
        <v>8500</v>
      </c>
      <c r="M153" s="20" t="n"/>
      <c r="N153" s="22">
        <f>IF($E153="","",ROUND(N($L153)-N($M153),2))</f>
        <v/>
      </c>
      <c r="O153" s="21" t="n"/>
      <c r="P153" s="20" t="n">
        <v>300</v>
      </c>
      <c r="Q153" s="12" t="inlineStr">
        <is>
          <t>4</t>
        </is>
      </c>
      <c r="R153" s="19" t="n">
        <v>46269</v>
      </c>
      <c r="S153" s="20" t="n"/>
      <c r="T153" s="20" t="n"/>
      <c r="U153" s="20" t="n"/>
      <c r="V153" s="12" t="n"/>
      <c r="W153" s="12" t="inlineStr">
        <is>
          <t>苹果手机17</t>
        </is>
      </c>
      <c r="X153" s="18">
        <f>IF($E153="","",IF(AND($B153&lt;&gt;"",ISNA(MATCH($B153,机构表,0))),"※机构不在【资料】里",IF(AND($D153&lt;&gt;"",ISNA(MATCH($D153,状态表,0))),"※状态不在【资料】里",IF(N($M153)&gt;N($L153),"※已还本金大于典当金额",IF(AND($I153&lt;&gt;"",$J153&lt;&gt;"",$J153&lt;$I153),"※到期日早于当票日期",IF(AND($H153&lt;&gt;"",COUNTIF($H$4:$H$403,$H153)&gt;1),"※当票号在本表里出现了不止一次",IF(AND($L153&lt;&gt;"",$E153=""),"※有金额没写客户","")))))))</f>
        <v/>
      </c>
    </row>
    <row r="154">
      <c r="A154" s="18">
        <f>IF($E154="","",COUNTA($E$4:$E154))</f>
        <v/>
      </c>
      <c r="B154" s="12" t="inlineStr">
        <is>
          <t>个人典当</t>
        </is>
      </c>
      <c r="C154" s="12" t="inlineStr">
        <is>
          <t>黄金</t>
        </is>
      </c>
      <c r="D154" s="12" t="inlineStr">
        <is>
          <t>在当</t>
        </is>
      </c>
      <c r="E154" s="12" t="inlineStr">
        <is>
          <t>徐昊昱</t>
        </is>
      </c>
      <c r="F154" s="12" t="n"/>
      <c r="G154" s="12" t="n"/>
      <c r="H154" s="12" t="n"/>
      <c r="I154" s="19" t="n"/>
      <c r="J154" s="19" t="n"/>
      <c r="K154" s="19" t="n">
        <v>46235</v>
      </c>
      <c r="L154" s="20" t="n">
        <v>37000</v>
      </c>
      <c r="M154" s="20" t="n"/>
      <c r="N154" s="22">
        <f>IF($E154="","",ROUND(N($L154)-N($M154),2))</f>
        <v/>
      </c>
      <c r="O154" s="21" t="n"/>
      <c r="P154" s="20" t="n">
        <v>740</v>
      </c>
      <c r="Q154" s="12" t="inlineStr">
        <is>
          <t>1</t>
        </is>
      </c>
      <c r="R154" s="19" t="n">
        <v>46266</v>
      </c>
      <c r="S154" s="20" t="n"/>
      <c r="T154" s="20" t="n"/>
      <c r="U154" s="20" t="n"/>
      <c r="V154" s="12" t="n"/>
      <c r="W154" s="12" t="n"/>
      <c r="X154" s="18">
        <f>IF($E154="","",IF(AND($B154&lt;&gt;"",ISNA(MATCH($B154,机构表,0))),"※机构不在【资料】里",IF(AND($D154&lt;&gt;"",ISNA(MATCH($D154,状态表,0))),"※状态不在【资料】里",IF(N($M154)&gt;N($L154),"※已还本金大于典当金额",IF(AND($I154&lt;&gt;"",$J154&lt;&gt;"",$J154&lt;$I154),"※到期日早于当票日期",IF(AND($H154&lt;&gt;"",COUNTIF($H$4:$H$403,$H154)&gt;1),"※当票号在本表里出现了不止一次",IF(AND($L154&lt;&gt;"",$E154=""),"※有金额没写客户","")))))))</f>
        <v/>
      </c>
    </row>
    <row r="155">
      <c r="A155" s="18">
        <f>IF($E155="","",COUNTA($E$4:$E155))</f>
        <v/>
      </c>
      <c r="B155" s="12" t="inlineStr">
        <is>
          <t>个人典当</t>
        </is>
      </c>
      <c r="C155" s="12" t="inlineStr">
        <is>
          <t>车子</t>
        </is>
      </c>
      <c r="D155" s="12" t="inlineStr">
        <is>
          <t>在当</t>
        </is>
      </c>
      <c r="E155" s="12" t="inlineStr">
        <is>
          <t>严为志</t>
        </is>
      </c>
      <c r="F155" s="12" t="n"/>
      <c r="G155" s="12" t="n"/>
      <c r="H155" s="12" t="n"/>
      <c r="I155" s="19" t="n"/>
      <c r="J155" s="19" t="n">
        <v>46180</v>
      </c>
      <c r="K155" s="19" t="n">
        <v>46088</v>
      </c>
      <c r="L155" s="20" t="n">
        <v>230000</v>
      </c>
      <c r="M155" s="20" t="n"/>
      <c r="N155" s="22">
        <f>IF($E155="","",ROUND(N($L155)-N($M155),2))</f>
        <v/>
      </c>
      <c r="O155" s="21" t="n"/>
      <c r="P155" s="20" t="n">
        <v>3500</v>
      </c>
      <c r="Q155" s="12" t="inlineStr">
        <is>
          <t>6</t>
        </is>
      </c>
      <c r="R155" s="19" t="n">
        <v>46271</v>
      </c>
      <c r="S155" s="20" t="n"/>
      <c r="T155" s="20" t="n"/>
      <c r="U155" s="20" t="n"/>
      <c r="V155" s="12" t="n"/>
      <c r="W155" s="12" t="n"/>
      <c r="X155" s="18">
        <f>IF($E155="","",IF(AND($B155&lt;&gt;"",ISNA(MATCH($B155,机构表,0))),"※机构不在【资料】里",IF(AND($D155&lt;&gt;"",ISNA(MATCH($D155,状态表,0))),"※状态不在【资料】里",IF(N($M155)&gt;N($L155),"※已还本金大于典当金额",IF(AND($I155&lt;&gt;"",$J155&lt;&gt;"",$J155&lt;$I155),"※到期日早于当票日期",IF(AND($H155&lt;&gt;"",COUNTIF($H$4:$H$403,$H155)&gt;1),"※当票号在本表里出现了不止一次",IF(AND($L155&lt;&gt;"",$E155=""),"※有金额没写客户","")))))))</f>
        <v/>
      </c>
    </row>
    <row r="156">
      <c r="A156" s="18">
        <f>IF($E156="","",COUNTA($E$4:$E156))</f>
        <v/>
      </c>
      <c r="B156" s="12" t="inlineStr">
        <is>
          <t>个人典当</t>
        </is>
      </c>
      <c r="C156" s="12" t="inlineStr">
        <is>
          <t>黄金</t>
        </is>
      </c>
      <c r="D156" s="12" t="inlineStr">
        <is>
          <t>在当</t>
        </is>
      </c>
      <c r="E156" s="12" t="inlineStr">
        <is>
          <t>杨繁</t>
        </is>
      </c>
      <c r="F156" s="12" t="n"/>
      <c r="G156" s="12" t="n"/>
      <c r="H156" s="12" t="n"/>
      <c r="I156" s="19" t="n"/>
      <c r="J156" s="19" t="n">
        <v>45783</v>
      </c>
      <c r="K156" s="19" t="n">
        <v>45754</v>
      </c>
      <c r="L156" s="20" t="n">
        <v>30000</v>
      </c>
      <c r="M156" s="20" t="n"/>
      <c r="N156" s="22">
        <f>IF($E156="","",ROUND(N($L156)-N($M156),2))</f>
        <v/>
      </c>
      <c r="O156" s="21" t="n"/>
      <c r="P156" s="20" t="n">
        <v>750</v>
      </c>
      <c r="Q156" s="12" t="inlineStr">
        <is>
          <t>6</t>
        </is>
      </c>
      <c r="R156" s="19" t="n">
        <v>46271</v>
      </c>
      <c r="S156" s="20" t="n"/>
      <c r="T156" s="20" t="n"/>
      <c r="U156" s="20" t="n"/>
      <c r="V156" s="12" t="n"/>
      <c r="W156" s="12" t="n"/>
      <c r="X156" s="18">
        <f>IF($E156="","",IF(AND($B156&lt;&gt;"",ISNA(MATCH($B156,机构表,0))),"※机构不在【资料】里",IF(AND($D156&lt;&gt;"",ISNA(MATCH($D156,状态表,0))),"※状态不在【资料】里",IF(N($M156)&gt;N($L156),"※已还本金大于典当金额",IF(AND($I156&lt;&gt;"",$J156&lt;&gt;"",$J156&lt;$I156),"※到期日早于当票日期",IF(AND($H156&lt;&gt;"",COUNTIF($H$4:$H$403,$H156)&gt;1),"※当票号在本表里出现了不止一次",IF(AND($L156&lt;&gt;"",$E156=""),"※有金额没写客户","")))))))</f>
        <v/>
      </c>
    </row>
    <row r="157">
      <c r="A157" s="18">
        <f>IF($E157="","",COUNTA($E$4:$E157))</f>
        <v/>
      </c>
      <c r="B157" s="12" t="inlineStr">
        <is>
          <t>金辉典当</t>
        </is>
      </c>
      <c r="C157" s="12" t="inlineStr">
        <is>
          <t>房产</t>
        </is>
      </c>
      <c r="D157" s="12" t="inlineStr">
        <is>
          <t>在当</t>
        </is>
      </c>
      <c r="E157" s="12" t="inlineStr">
        <is>
          <t>杨惠慧（徐波）</t>
        </is>
      </c>
      <c r="F157" s="12" t="n"/>
      <c r="G157" s="12" t="n"/>
      <c r="H157" s="12" t="n"/>
      <c r="I157" s="19" t="n">
        <v>45412</v>
      </c>
      <c r="J157" s="19" t="n">
        <v>45500</v>
      </c>
      <c r="K157" s="19" t="n">
        <v>45412</v>
      </c>
      <c r="L157" s="20" t="n">
        <v>100000</v>
      </c>
      <c r="M157" s="20" t="n"/>
      <c r="N157" s="22">
        <f>IF($E157="","",ROUND(N($L157)-N($M157),2))</f>
        <v/>
      </c>
      <c r="O157" s="21" t="n">
        <v>0.025</v>
      </c>
      <c r="P157" s="20" t="n">
        <v>2500</v>
      </c>
      <c r="Q157" s="12" t="inlineStr">
        <is>
          <t>20</t>
        </is>
      </c>
      <c r="R157" s="19" t="n">
        <v>45708</v>
      </c>
      <c r="S157" s="20" t="n"/>
      <c r="T157" s="20" t="n"/>
      <c r="U157" s="20" t="n">
        <v>2500</v>
      </c>
      <c r="V157" s="12" t="inlineStr">
        <is>
          <t>先息</t>
        </is>
      </c>
      <c r="W157" s="12" t="n"/>
      <c r="X157" s="18">
        <f>IF($E157="","",IF(AND($B157&lt;&gt;"",ISNA(MATCH($B157,机构表,0))),"※机构不在【资料】里",IF(AND($D157&lt;&gt;"",ISNA(MATCH($D157,状态表,0))),"※状态不在【资料】里",IF(N($M157)&gt;N($L157),"※已还本金大于典当金额",IF(AND($I157&lt;&gt;"",$J157&lt;&gt;"",$J157&lt;$I157),"※到期日早于当票日期",IF(AND($H157&lt;&gt;"",COUNTIF($H$4:$H$403,$H157)&gt;1),"※当票号在本表里出现了不止一次",IF(AND($L157&lt;&gt;"",$E157=""),"※有金额没写客户","")))))))</f>
        <v/>
      </c>
    </row>
    <row r="158">
      <c r="A158" s="18">
        <f>IF($E158="","",COUNTA($E$4:$E158))</f>
        <v/>
      </c>
      <c r="B158" s="12" t="inlineStr">
        <is>
          <t>金辉典当</t>
        </is>
      </c>
      <c r="C158" s="12" t="inlineStr">
        <is>
          <t>房产</t>
        </is>
      </c>
      <c r="D158" s="12" t="inlineStr">
        <is>
          <t>在当</t>
        </is>
      </c>
      <c r="E158" s="12" t="inlineStr">
        <is>
          <t>杨惠慧（徐波）</t>
        </is>
      </c>
      <c r="F158" s="12" t="n"/>
      <c r="G158" s="12" t="n"/>
      <c r="H158" s="12" t="inlineStr">
        <is>
          <t>3519252755</t>
        </is>
      </c>
      <c r="I158" s="19" t="n">
        <v>45590</v>
      </c>
      <c r="J158" s="19" t="n">
        <v>45619</v>
      </c>
      <c r="K158" s="19" t="n"/>
      <c r="L158" s="20" t="n">
        <v>200000</v>
      </c>
      <c r="M158" s="20" t="n"/>
      <c r="N158" s="22">
        <f>IF($E158="","",ROUND(N($L158)-N($M158),2))</f>
        <v/>
      </c>
      <c r="O158" s="21" t="n">
        <v>0.025</v>
      </c>
      <c r="P158" s="20" t="n">
        <v>5000</v>
      </c>
      <c r="Q158" s="12" t="inlineStr">
        <is>
          <t>4</t>
        </is>
      </c>
      <c r="R158" s="19" t="n">
        <v>45692</v>
      </c>
      <c r="S158" s="20" t="n"/>
      <c r="T158" s="20" t="n"/>
      <c r="U158" s="20" t="n"/>
      <c r="V158" s="12" t="inlineStr">
        <is>
          <t>先息</t>
        </is>
      </c>
      <c r="W158" s="12" t="n"/>
      <c r="X158" s="18">
        <f>IF($E158="","",IF(AND($B158&lt;&gt;"",ISNA(MATCH($B158,机构表,0))),"※机构不在【资料】里",IF(AND($D158&lt;&gt;"",ISNA(MATCH($D158,状态表,0))),"※状态不在【资料】里",IF(N($M158)&gt;N($L158),"※已还本金大于典当金额",IF(AND($I158&lt;&gt;"",$J158&lt;&gt;"",$J158&lt;$I158),"※到期日早于当票日期",IF(AND($H158&lt;&gt;"",COUNTIF($H$4:$H$403,$H158)&gt;1),"※当票号在本表里出现了不止一次",IF(AND($L158&lt;&gt;"",$E158=""),"※有金额没写客户","")))))))</f>
        <v/>
      </c>
    </row>
    <row r="159">
      <c r="A159" s="18">
        <f>IF($E159="","",COUNTA($E$4:$E159))</f>
        <v/>
      </c>
      <c r="B159" s="12" t="inlineStr">
        <is>
          <t>个人典当</t>
        </is>
      </c>
      <c r="C159" s="12" t="inlineStr">
        <is>
          <t>私人借款</t>
        </is>
      </c>
      <c r="D159" s="12" t="inlineStr">
        <is>
          <t>在当</t>
        </is>
      </c>
      <c r="E159" s="12" t="inlineStr">
        <is>
          <t>杨眉/陈雨荷</t>
        </is>
      </c>
      <c r="F159" s="12" t="n"/>
      <c r="G159" s="12" t="n"/>
      <c r="H159" s="12" t="n"/>
      <c r="I159" s="19" t="n"/>
      <c r="J159" s="19" t="n">
        <v>45508</v>
      </c>
      <c r="K159" s="19" t="n">
        <v>45328</v>
      </c>
      <c r="L159" s="20" t="n">
        <v>500000</v>
      </c>
      <c r="M159" s="20" t="n"/>
      <c r="N159" s="22">
        <f>IF($E159="","",ROUND(N($L159)-N($M159),2))</f>
        <v/>
      </c>
      <c r="O159" s="21" t="n"/>
      <c r="P159" s="20" t="n">
        <v>10000</v>
      </c>
      <c r="Q159" s="12" t="inlineStr">
        <is>
          <t>1</t>
        </is>
      </c>
      <c r="R159" s="19" t="n">
        <v>46266</v>
      </c>
      <c r="S159" s="20" t="n"/>
      <c r="T159" s="20" t="n"/>
      <c r="U159" s="20" t="n"/>
      <c r="V159" s="12" t="n"/>
      <c r="W159" s="12" t="n"/>
      <c r="X159" s="18">
        <f>IF($E159="","",IF(AND($B159&lt;&gt;"",ISNA(MATCH($B159,机构表,0))),"※机构不在【资料】里",IF(AND($D159&lt;&gt;"",ISNA(MATCH($D159,状态表,0))),"※状态不在【资料】里",IF(N($M159)&gt;N($L159),"※已还本金大于典当金额",IF(AND($I159&lt;&gt;"",$J159&lt;&gt;"",$J159&lt;$I159),"※到期日早于当票日期",IF(AND($H159&lt;&gt;"",COUNTIF($H$4:$H$403,$H159)&gt;1),"※当票号在本表里出现了不止一次",IF(AND($L159&lt;&gt;"",$E159=""),"※有金额没写客户","")))))))</f>
        <v/>
      </c>
    </row>
    <row r="160">
      <c r="A160" s="18">
        <f>IF($E160="","",COUNTA($E$4:$E160))</f>
        <v/>
      </c>
      <c r="B160" s="12" t="inlineStr">
        <is>
          <t>金辉典当</t>
        </is>
      </c>
      <c r="C160" s="12" t="inlineStr">
        <is>
          <t>房产</t>
        </is>
      </c>
      <c r="D160" s="12" t="inlineStr">
        <is>
          <t>在当</t>
        </is>
      </c>
      <c r="E160" s="12" t="inlineStr">
        <is>
          <t>姚民威</t>
        </is>
      </c>
      <c r="F160" s="12" t="n"/>
      <c r="G160" s="12" t="n"/>
      <c r="H160" s="12" t="inlineStr">
        <is>
          <t>3519228936</t>
        </is>
      </c>
      <c r="I160" s="19" t="n">
        <v>45383</v>
      </c>
      <c r="J160" s="19" t="n"/>
      <c r="K160" s="19" t="n">
        <v>45383</v>
      </c>
      <c r="L160" s="20" t="n">
        <v>40000</v>
      </c>
      <c r="M160" s="20" t="n"/>
      <c r="N160" s="22">
        <f>IF($E160="","",ROUND(N($L160)-N($M160),2))</f>
        <v/>
      </c>
      <c r="O160" s="21" t="n">
        <v>0.025</v>
      </c>
      <c r="P160" s="20" t="n">
        <v>1000</v>
      </c>
      <c r="Q160" s="12" t="inlineStr">
        <is>
          <t>10</t>
        </is>
      </c>
      <c r="R160" s="19" t="n">
        <v>46275</v>
      </c>
      <c r="S160" s="20" t="n"/>
      <c r="T160" s="20" t="n"/>
      <c r="U160" s="20" t="n">
        <v>2000</v>
      </c>
      <c r="V160" s="12" t="inlineStr">
        <is>
          <t>先息</t>
        </is>
      </c>
      <c r="W160" s="12" t="n"/>
      <c r="X160" s="18">
        <f>IF($E160="","",IF(AND($B160&lt;&gt;"",ISNA(MATCH($B160,机构表,0))),"※机构不在【资料】里",IF(AND($D160&lt;&gt;"",ISNA(MATCH($D160,状态表,0))),"※状态不在【资料】里",IF(N($M160)&gt;N($L160),"※已还本金大于典当金额",IF(AND($I160&lt;&gt;"",$J160&lt;&gt;"",$J160&lt;$I160),"※到期日早于当票日期",IF(AND($H160&lt;&gt;"",COUNTIF($H$4:$H$403,$H160)&gt;1),"※当票号在本表里出现了不止一次",IF(AND($L160&lt;&gt;"",$E160=""),"※有金额没写客户","")))))))</f>
        <v/>
      </c>
    </row>
    <row r="161">
      <c r="A161" s="18">
        <f>IF($E161="","",COUNTA($E$4:$E161))</f>
        <v/>
      </c>
      <c r="B161" s="12" t="inlineStr">
        <is>
          <t>个人典当</t>
        </is>
      </c>
      <c r="C161" s="12" t="inlineStr">
        <is>
          <t>黄金</t>
        </is>
      </c>
      <c r="D161" s="12" t="inlineStr">
        <is>
          <t>在当</t>
        </is>
      </c>
      <c r="E161" s="12" t="inlineStr">
        <is>
          <t>叶金</t>
        </is>
      </c>
      <c r="F161" s="12" t="n"/>
      <c r="G161" s="12" t="n"/>
      <c r="H161" s="12" t="n"/>
      <c r="I161" s="19" t="n"/>
      <c r="J161" s="19" t="n"/>
      <c r="K161" s="19" t="n">
        <v>46136</v>
      </c>
      <c r="L161" s="20" t="n">
        <v>11000</v>
      </c>
      <c r="M161" s="20" t="n"/>
      <c r="N161" s="22">
        <f>IF($E161="","",ROUND(N($L161)-N($M161),2))</f>
        <v/>
      </c>
      <c r="O161" s="21" t="n"/>
      <c r="P161" s="20" t="n">
        <v>220</v>
      </c>
      <c r="Q161" s="12" t="inlineStr">
        <is>
          <t>23</t>
        </is>
      </c>
      <c r="R161" s="19" t="n">
        <v>46288</v>
      </c>
      <c r="S161" s="20" t="n"/>
      <c r="T161" s="20" t="n"/>
      <c r="U161" s="20" t="n"/>
      <c r="V161" s="12" t="n"/>
      <c r="W161" s="12" t="n"/>
      <c r="X161" s="18">
        <f>IF($E161="","",IF(AND($B161&lt;&gt;"",ISNA(MATCH($B161,机构表,0))),"※机构不在【资料】里",IF(AND($D161&lt;&gt;"",ISNA(MATCH($D161,状态表,0))),"※状态不在【资料】里",IF(N($M161)&gt;N($L161),"※已还本金大于典当金额",IF(AND($I161&lt;&gt;"",$J161&lt;&gt;"",$J161&lt;$I161),"※到期日早于当票日期",IF(AND($H161&lt;&gt;"",COUNTIF($H$4:$H$403,$H161)&gt;1),"※当票号在本表里出现了不止一次",IF(AND($L161&lt;&gt;"",$E161=""),"※有金额没写客户","")))))))</f>
        <v/>
      </c>
    </row>
    <row r="162">
      <c r="A162" s="18">
        <f>IF($E162="","",COUNTA($E$4:$E162))</f>
        <v/>
      </c>
      <c r="B162" s="12" t="inlineStr">
        <is>
          <t>个人典当</t>
        </is>
      </c>
      <c r="C162" s="12" t="inlineStr">
        <is>
          <t>黄金</t>
        </is>
      </c>
      <c r="D162" s="12" t="inlineStr">
        <is>
          <t>在当</t>
        </is>
      </c>
      <c r="E162" s="12" t="inlineStr">
        <is>
          <t>叶金</t>
        </is>
      </c>
      <c r="F162" s="12" t="n"/>
      <c r="G162" s="12" t="n"/>
      <c r="H162" s="12" t="n"/>
      <c r="I162" s="19" t="n"/>
      <c r="J162" s="19" t="n"/>
      <c r="K162" s="19" t="n">
        <v>46206</v>
      </c>
      <c r="L162" s="20" t="n">
        <v>5000</v>
      </c>
      <c r="M162" s="20" t="n"/>
      <c r="N162" s="22">
        <f>IF($E162="","",ROUND(N($L162)-N($M162),2))</f>
        <v/>
      </c>
      <c r="O162" s="21" t="n"/>
      <c r="P162" s="20" t="n">
        <v>200</v>
      </c>
      <c r="Q162" s="12" t="inlineStr">
        <is>
          <t>3</t>
        </is>
      </c>
      <c r="R162" s="19" t="n">
        <v>46268</v>
      </c>
      <c r="S162" s="20" t="n"/>
      <c r="T162" s="20" t="n"/>
      <c r="U162" s="20" t="n"/>
      <c r="V162" s="12" t="n"/>
      <c r="W162" s="12" t="n"/>
      <c r="X162" s="18">
        <f>IF($E162="","",IF(AND($B162&lt;&gt;"",ISNA(MATCH($B162,机构表,0))),"※机构不在【资料】里",IF(AND($D162&lt;&gt;"",ISNA(MATCH($D162,状态表,0))),"※状态不在【资料】里",IF(N($M162)&gt;N($L162),"※已还本金大于典当金额",IF(AND($I162&lt;&gt;"",$J162&lt;&gt;"",$J162&lt;$I162),"※到期日早于当票日期",IF(AND($H162&lt;&gt;"",COUNTIF($H$4:$H$403,$H162)&gt;1),"※当票号在本表里出现了不止一次",IF(AND($L162&lt;&gt;"",$E162=""),"※有金额没写客户","")))))))</f>
        <v/>
      </c>
    </row>
    <row r="163">
      <c r="A163" s="18">
        <f>IF($E163="","",COUNTA($E$4:$E163))</f>
        <v/>
      </c>
      <c r="B163" s="12" t="inlineStr">
        <is>
          <t>金辉典当</t>
        </is>
      </c>
      <c r="C163" s="12" t="inlineStr">
        <is>
          <t>黄金</t>
        </is>
      </c>
      <c r="D163" s="12" t="inlineStr">
        <is>
          <t>在当</t>
        </is>
      </c>
      <c r="E163" s="12" t="inlineStr">
        <is>
          <t>叶敏</t>
        </is>
      </c>
      <c r="F163" s="12" t="n"/>
      <c r="G163" s="12" t="n"/>
      <c r="H163" s="12" t="inlineStr">
        <is>
          <t>3524019231</t>
        </is>
      </c>
      <c r="I163" s="19" t="n">
        <v>46174</v>
      </c>
      <c r="J163" s="19" t="n">
        <v>46353</v>
      </c>
      <c r="K163" s="19" t="n"/>
      <c r="L163" s="20" t="n">
        <v>208000</v>
      </c>
      <c r="M163" s="20" t="n"/>
      <c r="N163" s="22">
        <f>IF($E163="","",ROUND(N($L163)-N($M163),2))</f>
        <v/>
      </c>
      <c r="O163" s="21" t="n">
        <v>0.0045</v>
      </c>
      <c r="P163" s="20" t="n">
        <v>5200</v>
      </c>
      <c r="Q163" s="12" t="inlineStr">
        <is>
          <t>30</t>
        </is>
      </c>
      <c r="R163" s="19" t="n">
        <v>46295</v>
      </c>
      <c r="S163" s="20" t="n">
        <v>936</v>
      </c>
      <c r="T163" s="20" t="n"/>
      <c r="U163" s="20" t="n"/>
      <c r="V163" s="12" t="n"/>
      <c r="W163" s="12" t="n"/>
      <c r="X163" s="18">
        <f>IF($E163="","",IF(AND($B163&lt;&gt;"",ISNA(MATCH($B163,机构表,0))),"※机构不在【资料】里",IF(AND($D163&lt;&gt;"",ISNA(MATCH($D163,状态表,0))),"※状态不在【资料】里",IF(N($M163)&gt;N($L163),"※已还本金大于典当金额",IF(AND($I163&lt;&gt;"",$J163&lt;&gt;"",$J163&lt;$I163),"※到期日早于当票日期",IF(AND($H163&lt;&gt;"",COUNTIF($H$4:$H$403,$H163)&gt;1),"※当票号在本表里出现了不止一次",IF(AND($L163&lt;&gt;"",$E163=""),"※有金额没写客户","")))))))</f>
        <v/>
      </c>
    </row>
    <row r="164">
      <c r="A164" s="18">
        <f>IF($E164="","",COUNTA($E$4:$E164))</f>
        <v/>
      </c>
      <c r="B164" s="12" t="inlineStr">
        <is>
          <t>个人典当</t>
        </is>
      </c>
      <c r="C164" s="12" t="inlineStr">
        <is>
          <t>私人借款</t>
        </is>
      </c>
      <c r="D164" s="12" t="inlineStr">
        <is>
          <t>起诉</t>
        </is>
      </c>
      <c r="E164" s="12" t="inlineStr">
        <is>
          <t>叶榕</t>
        </is>
      </c>
      <c r="F164" s="12" t="n"/>
      <c r="G164" s="12" t="n"/>
      <c r="H164" s="12" t="n"/>
      <c r="I164" s="19" t="n"/>
      <c r="J164" s="19" t="n">
        <v>45927</v>
      </c>
      <c r="K164" s="19" t="n">
        <v>45898</v>
      </c>
      <c r="L164" s="20" t="n">
        <v>400000</v>
      </c>
      <c r="M164" s="20" t="n"/>
      <c r="N164" s="22">
        <f>IF($E164="","",ROUND(N($L164)-N($M164),2))</f>
        <v/>
      </c>
      <c r="O164" s="21" t="n"/>
      <c r="P164" s="20" t="n">
        <v>9200</v>
      </c>
      <c r="Q164" s="12" t="inlineStr">
        <is>
          <t>1</t>
        </is>
      </c>
      <c r="R164" s="19" t="n">
        <v>45992</v>
      </c>
      <c r="S164" s="20" t="n"/>
      <c r="T164" s="20" t="n"/>
      <c r="U164" s="20" t="n"/>
      <c r="V164" s="12" t="n"/>
      <c r="W164" s="12" t="n"/>
      <c r="X164" s="18">
        <f>IF($E164="","",IF(AND($B164&lt;&gt;"",ISNA(MATCH($B164,机构表,0))),"※机构不在【资料】里",IF(AND($D164&lt;&gt;"",ISNA(MATCH($D164,状态表,0))),"※状态不在【资料】里",IF(N($M164)&gt;N($L164),"※已还本金大于典当金额",IF(AND($I164&lt;&gt;"",$J164&lt;&gt;"",$J164&lt;$I164),"※到期日早于当票日期",IF(AND($H164&lt;&gt;"",COUNTIF($H$4:$H$403,$H164)&gt;1),"※当票号在本表里出现了不止一次",IF(AND($L164&lt;&gt;"",$E164=""),"※有金额没写客户","")))))))</f>
        <v/>
      </c>
    </row>
    <row r="165">
      <c r="A165" s="18">
        <f>IF($E165="","",COUNTA($E$4:$E165))</f>
        <v/>
      </c>
      <c r="B165" s="12" t="inlineStr">
        <is>
          <t>个人典当</t>
        </is>
      </c>
      <c r="C165" s="12" t="inlineStr">
        <is>
          <t>私人借款</t>
        </is>
      </c>
      <c r="D165" s="12" t="inlineStr">
        <is>
          <t>起诉</t>
        </is>
      </c>
      <c r="E165" s="12" t="inlineStr">
        <is>
          <t>叶榕</t>
        </is>
      </c>
      <c r="F165" s="12" t="n"/>
      <c r="G165" s="12" t="n"/>
      <c r="H165" s="12" t="n"/>
      <c r="I165" s="19" t="n"/>
      <c r="J165" s="19" t="n">
        <v>45941</v>
      </c>
      <c r="K165" s="19" t="n">
        <v>45912</v>
      </c>
      <c r="L165" s="20" t="n">
        <v>200000</v>
      </c>
      <c r="M165" s="20" t="n"/>
      <c r="N165" s="22">
        <f>IF($E165="","",ROUND(N($L165)-N($M165),2))</f>
        <v/>
      </c>
      <c r="O165" s="21" t="n"/>
      <c r="P165" s="20" t="n">
        <v>4600</v>
      </c>
      <c r="Q165" s="12" t="inlineStr">
        <is>
          <t>12</t>
        </is>
      </c>
      <c r="R165" s="19" t="n">
        <v>46003</v>
      </c>
      <c r="S165" s="20" t="n"/>
      <c r="T165" s="20" t="n"/>
      <c r="U165" s="20" t="n"/>
      <c r="V165" s="12" t="n"/>
      <c r="W165" s="12" t="n"/>
      <c r="X165" s="18">
        <f>IF($E165="","",IF(AND($B165&lt;&gt;"",ISNA(MATCH($B165,机构表,0))),"※机构不在【资料】里",IF(AND($D165&lt;&gt;"",ISNA(MATCH($D165,状态表,0))),"※状态不在【资料】里",IF(N($M165)&gt;N($L165),"※已还本金大于典当金额",IF(AND($I165&lt;&gt;"",$J165&lt;&gt;"",$J165&lt;$I165),"※到期日早于当票日期",IF(AND($H165&lt;&gt;"",COUNTIF($H$4:$H$403,$H165)&gt;1),"※当票号在本表里出现了不止一次",IF(AND($L165&lt;&gt;"",$E165=""),"※有金额没写客户","")))))))</f>
        <v/>
      </c>
    </row>
    <row r="166">
      <c r="A166" s="18">
        <f>IF($E166="","",COUNTA($E$4:$E166))</f>
        <v/>
      </c>
      <c r="B166" s="12" t="inlineStr">
        <is>
          <t>个人典当</t>
        </is>
      </c>
      <c r="C166" s="12" t="inlineStr">
        <is>
          <t>私人借款</t>
        </is>
      </c>
      <c r="D166" s="12" t="inlineStr">
        <is>
          <t>起诉</t>
        </is>
      </c>
      <c r="E166" s="12" t="inlineStr">
        <is>
          <t>叶榕</t>
        </is>
      </c>
      <c r="F166" s="12" t="n"/>
      <c r="G166" s="12" t="n"/>
      <c r="H166" s="12" t="n"/>
      <c r="I166" s="19" t="n"/>
      <c r="J166" s="19" t="n">
        <v>45969</v>
      </c>
      <c r="K166" s="19" t="n">
        <v>45939</v>
      </c>
      <c r="L166" s="20" t="n">
        <v>100000</v>
      </c>
      <c r="M166" s="20" t="n"/>
      <c r="N166" s="22">
        <f>IF($E166="","",ROUND(N($L166)-N($M166),2))</f>
        <v/>
      </c>
      <c r="O166" s="21" t="n"/>
      <c r="P166" s="20" t="n">
        <v>2300</v>
      </c>
      <c r="Q166" s="12" t="inlineStr">
        <is>
          <t>9</t>
        </is>
      </c>
      <c r="R166" s="19" t="n">
        <v>46000</v>
      </c>
      <c r="S166" s="20" t="n"/>
      <c r="T166" s="20" t="n"/>
      <c r="U166" s="20" t="n"/>
      <c r="V166" s="12" t="n"/>
      <c r="W166" s="12" t="n"/>
      <c r="X166" s="18">
        <f>IF($E166="","",IF(AND($B166&lt;&gt;"",ISNA(MATCH($B166,机构表,0))),"※机构不在【资料】里",IF(AND($D166&lt;&gt;"",ISNA(MATCH($D166,状态表,0))),"※状态不在【资料】里",IF(N($M166)&gt;N($L166),"※已还本金大于典当金额",IF(AND($I166&lt;&gt;"",$J166&lt;&gt;"",$J166&lt;$I166),"※到期日早于当票日期",IF(AND($H166&lt;&gt;"",COUNTIF($H$4:$H$403,$H166)&gt;1),"※当票号在本表里出现了不止一次",IF(AND($L166&lt;&gt;"",$E166=""),"※有金额没写客户","")))))))</f>
        <v/>
      </c>
    </row>
    <row r="167">
      <c r="A167" s="18">
        <f>IF($E167="","",COUNTA($E$4:$E167))</f>
        <v/>
      </c>
      <c r="B167" s="12" t="inlineStr">
        <is>
          <t>金辉典当</t>
        </is>
      </c>
      <c r="C167" s="12" t="inlineStr">
        <is>
          <t>房产</t>
        </is>
      </c>
      <c r="D167" s="12" t="inlineStr">
        <is>
          <t>在当</t>
        </is>
      </c>
      <c r="E167" s="12" t="inlineStr">
        <is>
          <t>叶守芳</t>
        </is>
      </c>
      <c r="F167" s="12" t="n"/>
      <c r="G167" s="12" t="n"/>
      <c r="H167" s="12" t="inlineStr">
        <is>
          <t>3524019241</t>
        </is>
      </c>
      <c r="I167" s="19" t="n">
        <v>46225</v>
      </c>
      <c r="J167" s="19" t="n">
        <v>46314</v>
      </c>
      <c r="K167" s="19" t="n"/>
      <c r="L167" s="20" t="n">
        <v>200000</v>
      </c>
      <c r="M167" s="20" t="n"/>
      <c r="N167" s="22">
        <f>IF($E167="","",ROUND(N($L167)-N($M167),2))</f>
        <v/>
      </c>
      <c r="O167" s="21" t="n">
        <v>0.023</v>
      </c>
      <c r="P167" s="20" t="n">
        <v>4600</v>
      </c>
      <c r="Q167" s="12" t="inlineStr">
        <is>
          <t>30</t>
        </is>
      </c>
      <c r="R167" s="19" t="n">
        <v>46295</v>
      </c>
      <c r="S167" s="20" t="n"/>
      <c r="T167" s="20" t="n"/>
      <c r="U167" s="20" t="n"/>
      <c r="V167" s="12" t="n"/>
      <c r="W167" s="12" t="n"/>
      <c r="X167" s="18">
        <f>IF($E167="","",IF(AND($B167&lt;&gt;"",ISNA(MATCH($B167,机构表,0))),"※机构不在【资料】里",IF(AND($D167&lt;&gt;"",ISNA(MATCH($D167,状态表,0))),"※状态不在【资料】里",IF(N($M167)&gt;N($L167),"※已还本金大于典当金额",IF(AND($I167&lt;&gt;"",$J167&lt;&gt;"",$J167&lt;$I167),"※到期日早于当票日期",IF(AND($H167&lt;&gt;"",COUNTIF($H$4:$H$403,$H167)&gt;1),"※当票号在本表里出现了不止一次",IF(AND($L167&lt;&gt;"",$E167=""),"※有金额没写客户","")))))))</f>
        <v/>
      </c>
    </row>
    <row r="168">
      <c r="A168" s="18">
        <f>IF($E168="","",COUNTA($E$4:$E168))</f>
        <v/>
      </c>
      <c r="B168" s="12" t="inlineStr">
        <is>
          <t>个人典当</t>
        </is>
      </c>
      <c r="C168" s="12" t="inlineStr">
        <is>
          <t>黄金</t>
        </is>
      </c>
      <c r="D168" s="12" t="inlineStr">
        <is>
          <t>在当</t>
        </is>
      </c>
      <c r="E168" s="12" t="inlineStr">
        <is>
          <t>叶银</t>
        </is>
      </c>
      <c r="F168" s="12" t="n"/>
      <c r="G168" s="12" t="n"/>
      <c r="H168" s="12" t="n"/>
      <c r="I168" s="19" t="n"/>
      <c r="J168" s="19" t="n">
        <v>46153</v>
      </c>
      <c r="K168" s="19" t="n">
        <v>46124</v>
      </c>
      <c r="L168" s="20" t="n">
        <v>47000</v>
      </c>
      <c r="M168" s="20" t="n"/>
      <c r="N168" s="22">
        <f>IF($E168="","",ROUND(N($L168)-N($M168),2))</f>
        <v/>
      </c>
      <c r="O168" s="21" t="n"/>
      <c r="P168" s="20" t="n">
        <v>850</v>
      </c>
      <c r="Q168" s="12" t="inlineStr">
        <is>
          <t>11</t>
        </is>
      </c>
      <c r="R168" s="19" t="n">
        <v>46276</v>
      </c>
      <c r="S168" s="20" t="n"/>
      <c r="T168" s="20" t="n"/>
      <c r="U168" s="20" t="n"/>
      <c r="V168" s="12" t="n"/>
      <c r="W168" s="12" t="n"/>
      <c r="X168" s="18">
        <f>IF($E168="","",IF(AND($B168&lt;&gt;"",ISNA(MATCH($B168,机构表,0))),"※机构不在【资料】里",IF(AND($D168&lt;&gt;"",ISNA(MATCH($D168,状态表,0))),"※状态不在【资料】里",IF(N($M168)&gt;N($L168),"※已还本金大于典当金额",IF(AND($I168&lt;&gt;"",$J168&lt;&gt;"",$J168&lt;$I168),"※到期日早于当票日期",IF(AND($H168&lt;&gt;"",COUNTIF($H$4:$H$403,$H168)&gt;1),"※当票号在本表里出现了不止一次",IF(AND($L168&lt;&gt;"",$E168=""),"※有金额没写客户","")))))))</f>
        <v/>
      </c>
    </row>
    <row r="169">
      <c r="A169" s="18">
        <f>IF($E169="","",COUNTA($E$4:$E169))</f>
        <v/>
      </c>
      <c r="B169" s="12" t="inlineStr">
        <is>
          <t>个人典当</t>
        </is>
      </c>
      <c r="C169" s="12" t="inlineStr">
        <is>
          <t>黄金</t>
        </is>
      </c>
      <c r="D169" s="12" t="inlineStr">
        <is>
          <t>在当</t>
        </is>
      </c>
      <c r="E169" s="12" t="inlineStr">
        <is>
          <t>叶银</t>
        </is>
      </c>
      <c r="F169" s="12" t="n"/>
      <c r="G169" s="12" t="n"/>
      <c r="H169" s="12" t="n"/>
      <c r="I169" s="19" t="n"/>
      <c r="J169" s="19" t="n">
        <v>46155</v>
      </c>
      <c r="K169" s="19" t="n">
        <v>46126</v>
      </c>
      <c r="L169" s="20" t="n">
        <v>15000</v>
      </c>
      <c r="M169" s="20" t="n"/>
      <c r="N169" s="22">
        <f>IF($E169="","",ROUND(N($L169)-N($M169),2))</f>
        <v/>
      </c>
      <c r="O169" s="21" t="n"/>
      <c r="P169" s="20" t="n">
        <v>270</v>
      </c>
      <c r="Q169" s="12" t="inlineStr">
        <is>
          <t>13</t>
        </is>
      </c>
      <c r="R169" s="19" t="n">
        <v>46278</v>
      </c>
      <c r="S169" s="20" t="n"/>
      <c r="T169" s="20" t="n"/>
      <c r="U169" s="20" t="n"/>
      <c r="V169" s="12" t="n"/>
      <c r="W169" s="12" t="n"/>
      <c r="X169" s="18">
        <f>IF($E169="","",IF(AND($B169&lt;&gt;"",ISNA(MATCH($B169,机构表,0))),"※机构不在【资料】里",IF(AND($D169&lt;&gt;"",ISNA(MATCH($D169,状态表,0))),"※状态不在【资料】里",IF(N($M169)&gt;N($L169),"※已还本金大于典当金额",IF(AND($I169&lt;&gt;"",$J169&lt;&gt;"",$J169&lt;$I169),"※到期日早于当票日期",IF(AND($H169&lt;&gt;"",COUNTIF($H$4:$H$403,$H169)&gt;1),"※当票号在本表里出现了不止一次",IF(AND($L169&lt;&gt;"",$E169=""),"※有金额没写客户","")))))))</f>
        <v/>
      </c>
    </row>
    <row r="170">
      <c r="A170" s="18">
        <f>IF($E170="","",COUNTA($E$4:$E170))</f>
        <v/>
      </c>
      <c r="B170" s="12" t="inlineStr">
        <is>
          <t>个人典当</t>
        </is>
      </c>
      <c r="C170" s="12" t="inlineStr">
        <is>
          <t>黄金</t>
        </is>
      </c>
      <c r="D170" s="12" t="inlineStr">
        <is>
          <t>在当</t>
        </is>
      </c>
      <c r="E170" s="12" t="inlineStr">
        <is>
          <t>游金铭</t>
        </is>
      </c>
      <c r="F170" s="12" t="n"/>
      <c r="G170" s="12" t="n"/>
      <c r="H170" s="12" t="n"/>
      <c r="I170" s="19" t="n"/>
      <c r="J170" s="19" t="n"/>
      <c r="K170" s="19" t="n">
        <v>46253</v>
      </c>
      <c r="L170" s="20" t="n">
        <v>15000</v>
      </c>
      <c r="M170" s="20" t="n"/>
      <c r="N170" s="22">
        <f>IF($E170="","",ROUND(N($L170)-N($M170),2))</f>
        <v/>
      </c>
      <c r="O170" s="21" t="n"/>
      <c r="P170" s="20" t="n">
        <v>375</v>
      </c>
      <c r="Q170" s="12" t="inlineStr">
        <is>
          <t>17</t>
        </is>
      </c>
      <c r="R170" s="19" t="n">
        <v>46282</v>
      </c>
      <c r="S170" s="20" t="n"/>
      <c r="T170" s="20" t="n"/>
      <c r="U170" s="20" t="n"/>
      <c r="V170" s="12" t="n"/>
      <c r="W170" s="12" t="n"/>
      <c r="X170" s="18">
        <f>IF($E170="","",IF(AND($B170&lt;&gt;"",ISNA(MATCH($B170,机构表,0))),"※机构不在【资料】里",IF(AND($D170&lt;&gt;"",ISNA(MATCH($D170,状态表,0))),"※状态不在【资料】里",IF(N($M170)&gt;N($L170),"※已还本金大于典当金额",IF(AND($I170&lt;&gt;"",$J170&lt;&gt;"",$J170&lt;$I170),"※到期日早于当票日期",IF(AND($H170&lt;&gt;"",COUNTIF($H$4:$H$403,$H170)&gt;1),"※当票号在本表里出现了不止一次",IF(AND($L170&lt;&gt;"",$E170=""),"※有金额没写客户","")))))))</f>
        <v/>
      </c>
    </row>
    <row r="171">
      <c r="A171" s="18">
        <f>IF($E171="","",COUNTA($E$4:$E171))</f>
        <v/>
      </c>
      <c r="B171" s="12" t="inlineStr">
        <is>
          <t>金辉典当</t>
        </is>
      </c>
      <c r="C171" s="12" t="inlineStr">
        <is>
          <t>黄金</t>
        </is>
      </c>
      <c r="D171" s="12" t="inlineStr">
        <is>
          <t>在当</t>
        </is>
      </c>
      <c r="E171" s="12" t="inlineStr">
        <is>
          <t>张帆</t>
        </is>
      </c>
      <c r="F171" s="12" t="n"/>
      <c r="G171" s="12" t="n"/>
      <c r="H171" s="12" t="inlineStr">
        <is>
          <t>3524019249</t>
        </is>
      </c>
      <c r="I171" s="19" t="n">
        <v>46275</v>
      </c>
      <c r="J171" s="19" t="n">
        <v>46090</v>
      </c>
      <c r="K171" s="19" t="n"/>
      <c r="L171" s="20" t="n">
        <v>70000</v>
      </c>
      <c r="M171" s="20" t="n"/>
      <c r="N171" s="22">
        <f>IF($E171="","",ROUND(N($L171)-N($M171),2))</f>
        <v/>
      </c>
      <c r="O171" s="21" t="n">
        <v>0.003</v>
      </c>
      <c r="P171" s="20" t="n">
        <v>1400</v>
      </c>
      <c r="Q171" s="12" t="inlineStr">
        <is>
          <t>10</t>
        </is>
      </c>
      <c r="R171" s="19" t="n">
        <v>46275</v>
      </c>
      <c r="S171" s="20" t="n">
        <v>210</v>
      </c>
      <c r="T171" s="20" t="n"/>
      <c r="U171" s="20" t="n"/>
      <c r="V171" s="12" t="n"/>
      <c r="W171" s="12" t="n"/>
      <c r="X171" s="18">
        <f>IF($E171="","",IF(AND($B171&lt;&gt;"",ISNA(MATCH($B171,机构表,0))),"※机构不在【资料】里",IF(AND($D171&lt;&gt;"",ISNA(MATCH($D171,状态表,0))),"※状态不在【资料】里",IF(N($M171)&gt;N($L171),"※已还本金大于典当金额",IF(AND($I171&lt;&gt;"",$J171&lt;&gt;"",$J171&lt;$I171),"※到期日早于当票日期",IF(AND($H171&lt;&gt;"",COUNTIF($H$4:$H$403,$H171)&gt;1),"※当票号在本表里出现了不止一次",IF(AND($L171&lt;&gt;"",$E171=""),"※有金额没写客户","")))))))</f>
        <v/>
      </c>
    </row>
    <row r="172">
      <c r="A172" s="18">
        <f>IF($E172="","",COUNTA($E$4:$E172))</f>
        <v/>
      </c>
      <c r="B172" s="12" t="inlineStr">
        <is>
          <t>个人典当</t>
        </is>
      </c>
      <c r="C172" s="12" t="inlineStr">
        <is>
          <t>黄金</t>
        </is>
      </c>
      <c r="D172" s="12" t="inlineStr">
        <is>
          <t>在当</t>
        </is>
      </c>
      <c r="E172" s="12" t="inlineStr">
        <is>
          <t>张建云</t>
        </is>
      </c>
      <c r="F172" s="12" t="n"/>
      <c r="G172" s="12" t="n"/>
      <c r="H172" s="12" t="n"/>
      <c r="I172" s="19" t="n"/>
      <c r="J172" s="19" t="n">
        <v>45638</v>
      </c>
      <c r="K172" s="19" t="n">
        <v>45609</v>
      </c>
      <c r="L172" s="20" t="n">
        <v>10000</v>
      </c>
      <c r="M172" s="20" t="n"/>
      <c r="N172" s="22">
        <f>IF($E172="","",ROUND(N($L172)-N($M172),2))</f>
        <v/>
      </c>
      <c r="O172" s="21" t="n"/>
      <c r="P172" s="20" t="n">
        <v>250</v>
      </c>
      <c r="Q172" s="12" t="inlineStr">
        <is>
          <t>13</t>
        </is>
      </c>
      <c r="R172" s="19" t="n">
        <v>46278</v>
      </c>
      <c r="S172" s="20" t="n"/>
      <c r="T172" s="20" t="n"/>
      <c r="U172" s="20" t="n"/>
      <c r="V172" s="12" t="n"/>
      <c r="W172" s="12" t="n"/>
      <c r="X172" s="18">
        <f>IF($E172="","",IF(AND($B172&lt;&gt;"",ISNA(MATCH($B172,机构表,0))),"※机构不在【资料】里",IF(AND($D172&lt;&gt;"",ISNA(MATCH($D172,状态表,0))),"※状态不在【资料】里",IF(N($M172)&gt;N($L172),"※已还本金大于典当金额",IF(AND($I172&lt;&gt;"",$J172&lt;&gt;"",$J172&lt;$I172),"※到期日早于当票日期",IF(AND($H172&lt;&gt;"",COUNTIF($H$4:$H$403,$H172)&gt;1),"※当票号在本表里出现了不止一次",IF(AND($L172&lt;&gt;"",$E172=""),"※有金额没写客户","")))))))</f>
        <v/>
      </c>
    </row>
    <row r="173">
      <c r="A173" s="18">
        <f>IF($E173="","",COUNTA($E$4:$E173))</f>
        <v/>
      </c>
      <c r="B173" s="12" t="inlineStr">
        <is>
          <t>个人典当</t>
        </is>
      </c>
      <c r="C173" s="12" t="inlineStr">
        <is>
          <t>黄金</t>
        </is>
      </c>
      <c r="D173" s="12" t="inlineStr">
        <is>
          <t>在当</t>
        </is>
      </c>
      <c r="E173" s="12" t="inlineStr">
        <is>
          <t>张黎晖</t>
        </is>
      </c>
      <c r="F173" s="12" t="n"/>
      <c r="G173" s="12" t="n"/>
      <c r="H173" s="12" t="n"/>
      <c r="I173" s="19" t="n"/>
      <c r="J173" s="19" t="n">
        <v>45983</v>
      </c>
      <c r="K173" s="19" t="n">
        <v>45954</v>
      </c>
      <c r="L173" s="20" t="n">
        <v>52000</v>
      </c>
      <c r="M173" s="20" t="n"/>
      <c r="N173" s="22">
        <f>IF($E173="","",ROUND(N($L173)-N($M173),2))</f>
        <v/>
      </c>
      <c r="O173" s="21" t="n"/>
      <c r="P173" s="20" t="n">
        <v>1300</v>
      </c>
      <c r="Q173" s="12" t="inlineStr">
        <is>
          <t>23</t>
        </is>
      </c>
      <c r="R173" s="19" t="n">
        <v>46288</v>
      </c>
      <c r="S173" s="20" t="n"/>
      <c r="T173" s="20" t="n"/>
      <c r="U173" s="20" t="n"/>
      <c r="V173" s="12" t="n"/>
      <c r="W173" s="12" t="n"/>
      <c r="X173" s="18">
        <f>IF($E173="","",IF(AND($B173&lt;&gt;"",ISNA(MATCH($B173,机构表,0))),"※机构不在【资料】里",IF(AND($D173&lt;&gt;"",ISNA(MATCH($D173,状态表,0))),"※状态不在【资料】里",IF(N($M173)&gt;N($L173),"※已还本金大于典当金额",IF(AND($I173&lt;&gt;"",$J173&lt;&gt;"",$J173&lt;$I173),"※到期日早于当票日期",IF(AND($H173&lt;&gt;"",COUNTIF($H$4:$H$403,$H173)&gt;1),"※当票号在本表里出现了不止一次",IF(AND($L173&lt;&gt;"",$E173=""),"※有金额没写客户","")))))))</f>
        <v/>
      </c>
    </row>
    <row r="174">
      <c r="A174" s="18">
        <f>IF($E174="","",COUNTA($E$4:$E174))</f>
        <v/>
      </c>
      <c r="B174" s="12" t="inlineStr">
        <is>
          <t>个人典当</t>
        </is>
      </c>
      <c r="C174" s="12" t="inlineStr">
        <is>
          <t>私人借款</t>
        </is>
      </c>
      <c r="D174" s="12" t="inlineStr">
        <is>
          <t>在当</t>
        </is>
      </c>
      <c r="E174" s="12" t="inlineStr">
        <is>
          <t>张品洲</t>
        </is>
      </c>
      <c r="F174" s="12" t="n"/>
      <c r="G174" s="12" t="n"/>
      <c r="H174" s="12" t="n"/>
      <c r="I174" s="19" t="n"/>
      <c r="J174" s="19" t="n">
        <v>46031</v>
      </c>
      <c r="K174" s="19" t="n">
        <v>45941</v>
      </c>
      <c r="L174" s="20" t="n">
        <v>200000</v>
      </c>
      <c r="M174" s="20" t="n"/>
      <c r="N174" s="22">
        <f>IF($E174="","",ROUND(N($L174)-N($M174),2))</f>
        <v/>
      </c>
      <c r="O174" s="21" t="n"/>
      <c r="P174" s="20" t="n">
        <v>3600</v>
      </c>
      <c r="Q174" s="12" t="inlineStr">
        <is>
          <t>10</t>
        </is>
      </c>
      <c r="R174" s="19" t="n">
        <v>46275</v>
      </c>
      <c r="S174" s="20" t="n"/>
      <c r="T174" s="20" t="n"/>
      <c r="U174" s="20" t="n"/>
      <c r="V174" s="12" t="n"/>
      <c r="W174" s="12" t="n"/>
      <c r="X174" s="18">
        <f>IF($E174="","",IF(AND($B174&lt;&gt;"",ISNA(MATCH($B174,机构表,0))),"※机构不在【资料】里",IF(AND($D174&lt;&gt;"",ISNA(MATCH($D174,状态表,0))),"※状态不在【资料】里",IF(N($M174)&gt;N($L174),"※已还本金大于典当金额",IF(AND($I174&lt;&gt;"",$J174&lt;&gt;"",$J174&lt;$I174),"※到期日早于当票日期",IF(AND($H174&lt;&gt;"",COUNTIF($H$4:$H$403,$H174)&gt;1),"※当票号在本表里出现了不止一次",IF(AND($L174&lt;&gt;"",$E174=""),"※有金额没写客户","")))))))</f>
        <v/>
      </c>
    </row>
    <row r="175">
      <c r="A175" s="18">
        <f>IF($E175="","",COUNTA($E$4:$E175))</f>
        <v/>
      </c>
      <c r="B175" s="12" t="inlineStr">
        <is>
          <t>个人典当</t>
        </is>
      </c>
      <c r="C175" s="12" t="inlineStr">
        <is>
          <t>私人借款</t>
        </is>
      </c>
      <c r="D175" s="12" t="inlineStr">
        <is>
          <t>在当</t>
        </is>
      </c>
      <c r="E175" s="12" t="inlineStr">
        <is>
          <t>张品洲</t>
        </is>
      </c>
      <c r="F175" s="12" t="n"/>
      <c r="G175" s="12" t="n"/>
      <c r="H175" s="12" t="n"/>
      <c r="I175" s="19" t="n"/>
      <c r="J175" s="19" t="n">
        <v>46170</v>
      </c>
      <c r="K175" s="19" t="n">
        <v>46141</v>
      </c>
      <c r="L175" s="20" t="n">
        <v>50000</v>
      </c>
      <c r="M175" s="20" t="n"/>
      <c r="N175" s="22">
        <f>IF($E175="","",ROUND(N($L175)-N($M175),2))</f>
        <v/>
      </c>
      <c r="O175" s="21" t="n"/>
      <c r="P175" s="20" t="n">
        <v>900</v>
      </c>
      <c r="Q175" s="12" t="inlineStr">
        <is>
          <t>28</t>
        </is>
      </c>
      <c r="R175" s="19" t="n">
        <v>46293</v>
      </c>
      <c r="S175" s="20" t="n"/>
      <c r="T175" s="20" t="n"/>
      <c r="U175" s="20" t="n"/>
      <c r="V175" s="12" t="n"/>
      <c r="W175" s="12" t="n"/>
      <c r="X175" s="18">
        <f>IF($E175="","",IF(AND($B175&lt;&gt;"",ISNA(MATCH($B175,机构表,0))),"※机构不在【资料】里",IF(AND($D175&lt;&gt;"",ISNA(MATCH($D175,状态表,0))),"※状态不在【资料】里",IF(N($M175)&gt;N($L175),"※已还本金大于典当金额",IF(AND($I175&lt;&gt;"",$J175&lt;&gt;"",$J175&lt;$I175),"※到期日早于当票日期",IF(AND($H175&lt;&gt;"",COUNTIF($H$4:$H$403,$H175)&gt;1),"※当票号在本表里出现了不止一次",IF(AND($L175&lt;&gt;"",$E175=""),"※有金额没写客户","")))))))</f>
        <v/>
      </c>
    </row>
    <row r="176">
      <c r="A176" s="18">
        <f>IF($E176="","",COUNTA($E$4:$E176))</f>
        <v/>
      </c>
      <c r="B176" s="12" t="inlineStr">
        <is>
          <t>个人典当</t>
        </is>
      </c>
      <c r="C176" s="12" t="inlineStr">
        <is>
          <t>解押/过桥</t>
        </is>
      </c>
      <c r="D176" s="12" t="n"/>
      <c r="E176" s="12" t="inlineStr">
        <is>
          <t>张天龙</t>
        </is>
      </c>
      <c r="F176" s="12" t="n"/>
      <c r="G176" s="12" t="n"/>
      <c r="H176" s="12" t="n"/>
      <c r="I176" s="19" t="n"/>
      <c r="J176" s="19" t="n"/>
      <c r="K176" s="19" t="n">
        <v>46240</v>
      </c>
      <c r="L176" s="20" t="n">
        <v>1100000</v>
      </c>
      <c r="M176" s="20" t="n"/>
      <c r="N176" s="22">
        <f>IF($E176="","",ROUND(N($L176)-N($M176),2))</f>
        <v/>
      </c>
      <c r="O176" s="21" t="n"/>
      <c r="P176" s="20" t="n">
        <v>5850</v>
      </c>
      <c r="Q176" s="12" t="inlineStr">
        <is>
          <t>6</t>
        </is>
      </c>
      <c r="R176" s="19" t="n">
        <v>46240</v>
      </c>
      <c r="S176" s="20" t="n"/>
      <c r="T176" s="20" t="n"/>
      <c r="U176" s="20" t="n"/>
      <c r="V176" s="12" t="n"/>
      <c r="W176" s="12" t="n"/>
      <c r="X176" s="18">
        <f>IF($E176="","",IF(AND($B176&lt;&gt;"",ISNA(MATCH($B176,机构表,0))),"※机构不在【资料】里",IF(AND($D176&lt;&gt;"",ISNA(MATCH($D176,状态表,0))),"※状态不在【资料】里",IF(N($M176)&gt;N($L176),"※已还本金大于典当金额",IF(AND($I176&lt;&gt;"",$J176&lt;&gt;"",$J176&lt;$I176),"※到期日早于当票日期",IF(AND($H176&lt;&gt;"",COUNTIF($H$4:$H$403,$H176)&gt;1),"※当票号在本表里出现了不止一次",IF(AND($L176&lt;&gt;"",$E176=""),"※有金额没写客户","")))))))</f>
        <v/>
      </c>
    </row>
    <row r="177">
      <c r="A177" s="18">
        <f>IF($E177="","",COUNTA($E$4:$E177))</f>
        <v/>
      </c>
      <c r="B177" s="12" t="inlineStr">
        <is>
          <t>个人典当</t>
        </is>
      </c>
      <c r="C177" s="12" t="inlineStr">
        <is>
          <t>解押/过桥</t>
        </is>
      </c>
      <c r="D177" s="12" t="n"/>
      <c r="E177" s="12" t="inlineStr">
        <is>
          <t>张天龙</t>
        </is>
      </c>
      <c r="F177" s="12" t="n"/>
      <c r="G177" s="12" t="n"/>
      <c r="H177" s="12" t="n"/>
      <c r="I177" s="19" t="n"/>
      <c r="J177" s="19" t="n"/>
      <c r="K177" s="19" t="n">
        <v>46274</v>
      </c>
      <c r="L177" s="20" t="n">
        <v>820000</v>
      </c>
      <c r="M177" s="20" t="n"/>
      <c r="N177" s="22">
        <f>IF($E177="","",ROUND(N($L177)-N($M177),2))</f>
        <v/>
      </c>
      <c r="O177" s="21" t="n"/>
      <c r="P177" s="20" t="n">
        <v>2460</v>
      </c>
      <c r="Q177" s="12" t="inlineStr">
        <is>
          <t>9</t>
        </is>
      </c>
      <c r="R177" s="19" t="n">
        <v>46274</v>
      </c>
      <c r="S177" s="20" t="n"/>
      <c r="T177" s="20" t="n"/>
      <c r="U177" s="20" t="n"/>
      <c r="V177" s="12" t="n"/>
      <c r="W177" s="12" t="n"/>
      <c r="X177" s="18">
        <f>IF($E177="","",IF(AND($B177&lt;&gt;"",ISNA(MATCH($B177,机构表,0))),"※机构不在【资料】里",IF(AND($D177&lt;&gt;"",ISNA(MATCH($D177,状态表,0))),"※状态不在【资料】里",IF(N($M177)&gt;N($L177),"※已还本金大于典当金额",IF(AND($I177&lt;&gt;"",$J177&lt;&gt;"",$J177&lt;$I177),"※到期日早于当票日期",IF(AND($H177&lt;&gt;"",COUNTIF($H$4:$H$403,$H177)&gt;1),"※当票号在本表里出现了不止一次",IF(AND($L177&lt;&gt;"",$E177=""),"※有金额没写客户","")))))))</f>
        <v/>
      </c>
    </row>
    <row r="178">
      <c r="A178" s="18">
        <f>IF($E178="","",COUNTA($E$4:$E178))</f>
        <v/>
      </c>
      <c r="B178" s="12" t="inlineStr">
        <is>
          <t>个人典当</t>
        </is>
      </c>
      <c r="C178" s="12" t="inlineStr">
        <is>
          <t>黄金</t>
        </is>
      </c>
      <c r="D178" s="12" t="inlineStr">
        <is>
          <t>在当</t>
        </is>
      </c>
      <c r="E178" s="12" t="inlineStr">
        <is>
          <t>张妍</t>
        </is>
      </c>
      <c r="F178" s="12" t="n"/>
      <c r="G178" s="12" t="n"/>
      <c r="H178" s="12" t="n"/>
      <c r="I178" s="19" t="n"/>
      <c r="J178" s="19" t="n"/>
      <c r="K178" s="19" t="n">
        <v>46200</v>
      </c>
      <c r="L178" s="20" t="n">
        <v>18000</v>
      </c>
      <c r="M178" s="20" t="n"/>
      <c r="N178" s="22">
        <f>IF($E178="","",ROUND(N($L178)-N($M178),2))</f>
        <v/>
      </c>
      <c r="O178" s="21" t="n"/>
      <c r="P178" s="20" t="n">
        <v>450</v>
      </c>
      <c r="Q178" s="12" t="inlineStr">
        <is>
          <t>26</t>
        </is>
      </c>
      <c r="R178" s="19" t="n">
        <v>46291</v>
      </c>
      <c r="S178" s="20" t="n"/>
      <c r="T178" s="20" t="n"/>
      <c r="U178" s="20" t="n"/>
      <c r="V178" s="12" t="n"/>
      <c r="W178" s="12" t="inlineStr">
        <is>
          <t>24K黄金</t>
        </is>
      </c>
      <c r="X178" s="18">
        <f>IF($E178="","",IF(AND($B178&lt;&gt;"",ISNA(MATCH($B178,机构表,0))),"※机构不在【资料】里",IF(AND($D178&lt;&gt;"",ISNA(MATCH($D178,状态表,0))),"※状态不在【资料】里",IF(N($M178)&gt;N($L178),"※已还本金大于典当金额",IF(AND($I178&lt;&gt;"",$J178&lt;&gt;"",$J178&lt;$I178),"※到期日早于当票日期",IF(AND($H178&lt;&gt;"",COUNTIF($H$4:$H$403,$H178)&gt;1),"※当票号在本表里出现了不止一次",IF(AND($L178&lt;&gt;"",$E178=""),"※有金额没写客户","")))))))</f>
        <v/>
      </c>
    </row>
    <row r="179">
      <c r="A179" s="18">
        <f>IF($E179="","",COUNTA($E$4:$E179))</f>
        <v/>
      </c>
      <c r="B179" s="12" t="inlineStr">
        <is>
          <t>个人典当</t>
        </is>
      </c>
      <c r="C179" s="12" t="inlineStr">
        <is>
          <t>黄金</t>
        </is>
      </c>
      <c r="D179" s="12" t="inlineStr">
        <is>
          <t>在当</t>
        </is>
      </c>
      <c r="E179" s="12" t="inlineStr">
        <is>
          <t>张妍</t>
        </is>
      </c>
      <c r="F179" s="12" t="n"/>
      <c r="G179" s="12" t="n"/>
      <c r="H179" s="12" t="n"/>
      <c r="I179" s="19" t="n"/>
      <c r="J179" s="19" t="n"/>
      <c r="K179" s="19" t="n">
        <v>46271</v>
      </c>
      <c r="L179" s="20" t="n">
        <v>15000</v>
      </c>
      <c r="M179" s="20" t="n"/>
      <c r="N179" s="22">
        <f>IF($E179="","",ROUND(N($L179)-N($M179),2))</f>
        <v/>
      </c>
      <c r="O179" s="21" t="n"/>
      <c r="P179" s="20" t="n">
        <v>375</v>
      </c>
      <c r="Q179" s="12" t="inlineStr">
        <is>
          <t>6</t>
        </is>
      </c>
      <c r="R179" s="19" t="n">
        <v>46271</v>
      </c>
      <c r="S179" s="20" t="n"/>
      <c r="T179" s="20" t="n"/>
      <c r="U179" s="20" t="n"/>
      <c r="V179" s="12" t="n"/>
      <c r="W179" s="12" t="n"/>
      <c r="X179" s="18">
        <f>IF($E179="","",IF(AND($B179&lt;&gt;"",ISNA(MATCH($B179,机构表,0))),"※机构不在【资料】里",IF(AND($D179&lt;&gt;"",ISNA(MATCH($D179,状态表,0))),"※状态不在【资料】里",IF(N($M179)&gt;N($L179),"※已还本金大于典当金额",IF(AND($I179&lt;&gt;"",$J179&lt;&gt;"",$J179&lt;$I179),"※到期日早于当票日期",IF(AND($H179&lt;&gt;"",COUNTIF($H$4:$H$403,$H179)&gt;1),"※当票号在本表里出现了不止一次",IF(AND($L179&lt;&gt;"",$E179=""),"※有金额没写客户","")))))))</f>
        <v/>
      </c>
    </row>
    <row r="180">
      <c r="A180" s="18">
        <f>IF($E180="","",COUNTA($E$4:$E180))</f>
        <v/>
      </c>
      <c r="B180" s="12" t="inlineStr">
        <is>
          <t>个人典当</t>
        </is>
      </c>
      <c r="C180" s="12" t="inlineStr">
        <is>
          <t>黄金</t>
        </is>
      </c>
      <c r="D180" s="12" t="inlineStr">
        <is>
          <t>在当</t>
        </is>
      </c>
      <c r="E180" s="12" t="inlineStr">
        <is>
          <t>张妍</t>
        </is>
      </c>
      <c r="F180" s="12" t="n"/>
      <c r="G180" s="12" t="n"/>
      <c r="H180" s="12" t="n"/>
      <c r="I180" s="19" t="n"/>
      <c r="J180" s="19" t="n"/>
      <c r="K180" s="19" t="n">
        <v>46272</v>
      </c>
      <c r="L180" s="20" t="n">
        <v>15000</v>
      </c>
      <c r="M180" s="20" t="n"/>
      <c r="N180" s="22">
        <f>IF($E180="","",ROUND(N($L180)-N($M180),2))</f>
        <v/>
      </c>
      <c r="O180" s="21" t="n"/>
      <c r="P180" s="20" t="n">
        <v>375</v>
      </c>
      <c r="Q180" s="12" t="inlineStr">
        <is>
          <t>7</t>
        </is>
      </c>
      <c r="R180" s="19" t="n">
        <v>46272</v>
      </c>
      <c r="S180" s="20" t="n"/>
      <c r="T180" s="20" t="n"/>
      <c r="U180" s="20" t="n"/>
      <c r="V180" s="12" t="n"/>
      <c r="W180" s="12" t="n"/>
      <c r="X180" s="18">
        <f>IF($E180="","",IF(AND($B180&lt;&gt;"",ISNA(MATCH($B180,机构表,0))),"※机构不在【资料】里",IF(AND($D180&lt;&gt;"",ISNA(MATCH($D180,状态表,0))),"※状态不在【资料】里",IF(N($M180)&gt;N($L180),"※已还本金大于典当金额",IF(AND($I180&lt;&gt;"",$J180&lt;&gt;"",$J180&lt;$I180),"※到期日早于当票日期",IF(AND($H180&lt;&gt;"",COUNTIF($H$4:$H$403,$H180)&gt;1),"※当票号在本表里出现了不止一次",IF(AND($L180&lt;&gt;"",$E180=""),"※有金额没写客户","")))))))</f>
        <v/>
      </c>
    </row>
    <row r="181">
      <c r="A181" s="18">
        <f>IF($E181="","",COUNTA($E$4:$E181))</f>
        <v/>
      </c>
      <c r="B181" s="12" t="inlineStr">
        <is>
          <t>金辉典当</t>
        </is>
      </c>
      <c r="C181" s="12" t="inlineStr">
        <is>
          <t>房产</t>
        </is>
      </c>
      <c r="D181" s="12" t="inlineStr">
        <is>
          <t>在当</t>
        </is>
      </c>
      <c r="E181" s="12" t="inlineStr">
        <is>
          <t>章俊</t>
        </is>
      </c>
      <c r="F181" s="12" t="n"/>
      <c r="G181" s="12" t="n"/>
      <c r="H181" s="12" t="n"/>
      <c r="I181" s="19" t="n">
        <v>45419</v>
      </c>
      <c r="J181" s="19" t="n">
        <v>45478</v>
      </c>
      <c r="K181" s="19" t="n">
        <v>45421</v>
      </c>
      <c r="L181" s="20" t="n">
        <v>36500</v>
      </c>
      <c r="M181" s="20" t="n"/>
      <c r="N181" s="22">
        <f>IF($E181="","",ROUND(N($L181)-N($M181),2))</f>
        <v/>
      </c>
      <c r="O181" s="21" t="n">
        <v>0.025</v>
      </c>
      <c r="P181" s="20" t="n">
        <v>912.5</v>
      </c>
      <c r="Q181" s="12" t="inlineStr">
        <is>
          <t>15</t>
        </is>
      </c>
      <c r="R181" s="19" t="n">
        <v>46280</v>
      </c>
      <c r="S181" s="20" t="n"/>
      <c r="T181" s="20" t="n"/>
      <c r="U181" s="20" t="n">
        <v>2500</v>
      </c>
      <c r="V181" s="12" t="inlineStr">
        <is>
          <t>先息</t>
        </is>
      </c>
      <c r="W181" s="12" t="n"/>
      <c r="X181" s="18">
        <f>IF($E181="","",IF(AND($B181&lt;&gt;"",ISNA(MATCH($B181,机构表,0))),"※机构不在【资料】里",IF(AND($D181&lt;&gt;"",ISNA(MATCH($D181,状态表,0))),"※状态不在【资料】里",IF(N($M181)&gt;N($L181),"※已还本金大于典当金额",IF(AND($I181&lt;&gt;"",$J181&lt;&gt;"",$J181&lt;$I181),"※到期日早于当票日期",IF(AND($H181&lt;&gt;"",COUNTIF($H$4:$H$403,$H181)&gt;1),"※当票号在本表里出现了不止一次",IF(AND($L181&lt;&gt;"",$E181=""),"※有金额没写客户","")))))))</f>
        <v/>
      </c>
    </row>
    <row r="182">
      <c r="A182" s="18">
        <f>IF($E182="","",COUNTA($E$4:$E182))</f>
        <v/>
      </c>
      <c r="B182" s="12" t="inlineStr">
        <is>
          <t>个人典当</t>
        </is>
      </c>
      <c r="C182" s="12" t="inlineStr">
        <is>
          <t>黄金</t>
        </is>
      </c>
      <c r="D182" s="12" t="inlineStr">
        <is>
          <t>在当</t>
        </is>
      </c>
      <c r="E182" s="12" t="inlineStr">
        <is>
          <t>赵彤欣</t>
        </is>
      </c>
      <c r="F182" s="12" t="n"/>
      <c r="G182" s="12" t="n"/>
      <c r="H182" s="12" t="n"/>
      <c r="I182" s="19" t="n"/>
      <c r="J182" s="19" t="n"/>
      <c r="K182" s="19" t="n">
        <v>46152</v>
      </c>
      <c r="L182" s="20" t="n">
        <v>2000</v>
      </c>
      <c r="M182" s="20" t="n"/>
      <c r="N182" s="22">
        <f>IF($E182="","",ROUND(N($L182)-N($M182),2))</f>
        <v/>
      </c>
      <c r="O182" s="21" t="n"/>
      <c r="P182" s="20" t="n">
        <v>100</v>
      </c>
      <c r="Q182" s="12" t="inlineStr">
        <is>
          <t>9</t>
        </is>
      </c>
      <c r="R182" s="19" t="n">
        <v>46274</v>
      </c>
      <c r="S182" s="20" t="n"/>
      <c r="T182" s="20" t="n"/>
      <c r="U182" s="20" t="n"/>
      <c r="V182" s="12" t="n"/>
      <c r="W182" s="12" t="n"/>
      <c r="X182" s="18">
        <f>IF($E182="","",IF(AND($B182&lt;&gt;"",ISNA(MATCH($B182,机构表,0))),"※机构不在【资料】里",IF(AND($D182&lt;&gt;"",ISNA(MATCH($D182,状态表,0))),"※状态不在【资料】里",IF(N($M182)&gt;N($L182),"※已还本金大于典当金额",IF(AND($I182&lt;&gt;"",$J182&lt;&gt;"",$J182&lt;$I182),"※到期日早于当票日期",IF(AND($H182&lt;&gt;"",COUNTIF($H$4:$H$403,$H182)&gt;1),"※当票号在本表里出现了不止一次",IF(AND($L182&lt;&gt;"",$E182=""),"※有金额没写客户","")))))))</f>
        <v/>
      </c>
    </row>
    <row r="183">
      <c r="A183" s="18">
        <f>IF($E183="","",COUNTA($E$4:$E183))</f>
        <v/>
      </c>
      <c r="B183" s="12" t="inlineStr">
        <is>
          <t>金辉典当</t>
        </is>
      </c>
      <c r="C183" s="12" t="inlineStr">
        <is>
          <t>房产</t>
        </is>
      </c>
      <c r="D183" s="12" t="inlineStr">
        <is>
          <t>逾期-未起诉</t>
        </is>
      </c>
      <c r="E183" s="12" t="inlineStr">
        <is>
          <t>郑大可</t>
        </is>
      </c>
      <c r="F183" s="12" t="n"/>
      <c r="G183" s="12" t="n"/>
      <c r="H183" s="12" t="inlineStr">
        <is>
          <t>3519156586</t>
        </is>
      </c>
      <c r="I183" s="19" t="n">
        <v>44587</v>
      </c>
      <c r="J183" s="19" t="n"/>
      <c r="K183" s="19" t="n">
        <v>45256</v>
      </c>
      <c r="L183" s="20" t="n">
        <v>40000</v>
      </c>
      <c r="M183" s="20" t="n"/>
      <c r="N183" s="22">
        <f>IF($E183="","",ROUND(N($L183)-N($M183),2))</f>
        <v/>
      </c>
      <c r="O183" s="21" t="n">
        <v>0.025</v>
      </c>
      <c r="P183" s="20" t="n">
        <v>1500</v>
      </c>
      <c r="Q183" s="12" t="inlineStr">
        <is>
          <t>26</t>
        </is>
      </c>
      <c r="R183" s="19" t="n">
        <v>45834</v>
      </c>
      <c r="S183" s="20" t="n"/>
      <c r="T183" s="20" t="n"/>
      <c r="U183" s="20" t="n">
        <v>2500</v>
      </c>
      <c r="V183" s="12" t="inlineStr">
        <is>
          <t>先息</t>
        </is>
      </c>
      <c r="W183" s="12" t="n"/>
      <c r="X183" s="18">
        <f>IF($E183="","",IF(AND($B183&lt;&gt;"",ISNA(MATCH($B183,机构表,0))),"※机构不在【资料】里",IF(AND($D183&lt;&gt;"",ISNA(MATCH($D183,状态表,0))),"※状态不在【资料】里",IF(N($M183)&gt;N($L183),"※已还本金大于典当金额",IF(AND($I183&lt;&gt;"",$J183&lt;&gt;"",$J183&lt;$I183),"※到期日早于当票日期",IF(AND($H183&lt;&gt;"",COUNTIF($H$4:$H$403,$H183)&gt;1),"※当票号在本表里出现了不止一次",IF(AND($L183&lt;&gt;"",$E183=""),"※有金额没写客户","")))))))</f>
        <v/>
      </c>
    </row>
    <row r="184">
      <c r="A184" s="18">
        <f>IF($E184="","",COUNTA($E$4:$E184))</f>
        <v/>
      </c>
      <c r="B184" s="12" t="inlineStr">
        <is>
          <t>个人典当</t>
        </is>
      </c>
      <c r="C184" s="12" t="inlineStr">
        <is>
          <t>无抵押借款</t>
        </is>
      </c>
      <c r="D184" s="12" t="inlineStr">
        <is>
          <t>在当</t>
        </is>
      </c>
      <c r="E184" s="12" t="inlineStr">
        <is>
          <t>郑丽清</t>
        </is>
      </c>
      <c r="F184" s="12" t="n"/>
      <c r="G184" s="12" t="n"/>
      <c r="H184" s="12" t="n"/>
      <c r="I184" s="19" t="n"/>
      <c r="J184" s="19" t="n">
        <v>46324</v>
      </c>
      <c r="K184" s="19" t="n">
        <v>46265</v>
      </c>
      <c r="L184" s="20" t="n">
        <v>100000</v>
      </c>
      <c r="M184" s="20" t="n"/>
      <c r="N184" s="22">
        <f>IF($E184="","",ROUND(N($L184)-N($M184),2))</f>
        <v/>
      </c>
      <c r="O184" s="21" t="n"/>
      <c r="P184" s="20" t="n">
        <v>2500</v>
      </c>
      <c r="Q184" s="12" t="inlineStr">
        <is>
          <t>29</t>
        </is>
      </c>
      <c r="R184" s="19" t="n">
        <v>46294</v>
      </c>
      <c r="S184" s="20" t="n"/>
      <c r="T184" s="20" t="n"/>
      <c r="U184" s="20" t="n"/>
      <c r="V184" s="12" t="n"/>
      <c r="W184" s="12" t="n"/>
      <c r="X184" s="18">
        <f>IF($E184="","",IF(AND($B184&lt;&gt;"",ISNA(MATCH($B184,机构表,0))),"※机构不在【资料】里",IF(AND($D184&lt;&gt;"",ISNA(MATCH($D184,状态表,0))),"※状态不在【资料】里",IF(N($M184)&gt;N($L184),"※已还本金大于典当金额",IF(AND($I184&lt;&gt;"",$J184&lt;&gt;"",$J184&lt;$I184),"※到期日早于当票日期",IF(AND($H184&lt;&gt;"",COUNTIF($H$4:$H$403,$H184)&gt;1),"※当票号在本表里出现了不止一次",IF(AND($L184&lt;&gt;"",$E184=""),"※有金额没写客户","")))))))</f>
        <v/>
      </c>
    </row>
    <row r="185">
      <c r="A185" s="18">
        <f>IF($E185="","",COUNTA($E$4:$E185))</f>
        <v/>
      </c>
      <c r="B185" s="12" t="inlineStr">
        <is>
          <t>个人典当</t>
        </is>
      </c>
      <c r="C185" s="12" t="inlineStr">
        <is>
          <t>黄金</t>
        </is>
      </c>
      <c r="D185" s="12" t="inlineStr">
        <is>
          <t>在当</t>
        </is>
      </c>
      <c r="E185" s="12" t="inlineStr">
        <is>
          <t>郑庆民</t>
        </is>
      </c>
      <c r="F185" s="12" t="n"/>
      <c r="G185" s="12" t="n"/>
      <c r="H185" s="12" t="n"/>
      <c r="I185" s="19" t="n"/>
      <c r="J185" s="19" t="n"/>
      <c r="K185" s="19" t="n">
        <v>45469</v>
      </c>
      <c r="L185" s="20" t="n">
        <v>4500</v>
      </c>
      <c r="M185" s="20" t="n"/>
      <c r="N185" s="22">
        <f>IF($E185="","",ROUND(N($L185)-N($M185),2))</f>
        <v/>
      </c>
      <c r="O185" s="21" t="n"/>
      <c r="P185" s="20" t="n">
        <v>200</v>
      </c>
      <c r="Q185" s="12" t="inlineStr">
        <is>
          <t>26</t>
        </is>
      </c>
      <c r="R185" s="19" t="n">
        <v>46291</v>
      </c>
      <c r="S185" s="20" t="n"/>
      <c r="T185" s="20" t="n"/>
      <c r="U185" s="20" t="n"/>
      <c r="V185" s="12" t="n"/>
      <c r="W185" s="12" t="n"/>
      <c r="X185" s="18">
        <f>IF($E185="","",IF(AND($B185&lt;&gt;"",ISNA(MATCH($B185,机构表,0))),"※机构不在【资料】里",IF(AND($D185&lt;&gt;"",ISNA(MATCH($D185,状态表,0))),"※状态不在【资料】里",IF(N($M185)&gt;N($L185),"※已还本金大于典当金额",IF(AND($I185&lt;&gt;"",$J185&lt;&gt;"",$J185&lt;$I185),"※到期日早于当票日期",IF(AND($H185&lt;&gt;"",COUNTIF($H$4:$H$403,$H185)&gt;1),"※当票号在本表里出现了不止一次",IF(AND($L185&lt;&gt;"",$E185=""),"※有金额没写客户","")))))))</f>
        <v/>
      </c>
    </row>
    <row r="186">
      <c r="A186" s="18">
        <f>IF($E186="","",COUNTA($E$4:$E186))</f>
        <v/>
      </c>
      <c r="B186" s="12" t="inlineStr">
        <is>
          <t>个人典当</t>
        </is>
      </c>
      <c r="C186" s="12" t="inlineStr">
        <is>
          <t>寿山石</t>
        </is>
      </c>
      <c r="D186" s="12" t="inlineStr">
        <is>
          <t>在当</t>
        </is>
      </c>
      <c r="E186" s="12" t="inlineStr">
        <is>
          <t>郑庆民</t>
        </is>
      </c>
      <c r="F186" s="12" t="n"/>
      <c r="G186" s="12" t="n"/>
      <c r="H186" s="12" t="n"/>
      <c r="I186" s="19" t="n"/>
      <c r="J186" s="19" t="n"/>
      <c r="K186" s="19" t="n">
        <v>45470</v>
      </c>
      <c r="L186" s="20" t="n">
        <v>10000</v>
      </c>
      <c r="M186" s="20" t="n"/>
      <c r="N186" s="22">
        <f>IF($E186="","",ROUND(N($L186)-N($M186),2))</f>
        <v/>
      </c>
      <c r="O186" s="21" t="n"/>
      <c r="P186" s="20" t="n">
        <v>700</v>
      </c>
      <c r="Q186" s="12" t="inlineStr">
        <is>
          <t>26</t>
        </is>
      </c>
      <c r="R186" s="19" t="n">
        <v>45895</v>
      </c>
      <c r="S186" s="20" t="n"/>
      <c r="T186" s="20" t="n"/>
      <c r="U186" s="20" t="n"/>
      <c r="V186" s="12" t="n"/>
      <c r="W186" s="12" t="n"/>
      <c r="X186" s="18">
        <f>IF($E186="","",IF(AND($B186&lt;&gt;"",ISNA(MATCH($B186,机构表,0))),"※机构不在【资料】里",IF(AND($D186&lt;&gt;"",ISNA(MATCH($D186,状态表,0))),"※状态不在【资料】里",IF(N($M186)&gt;N($L186),"※已还本金大于典当金额",IF(AND($I186&lt;&gt;"",$J186&lt;&gt;"",$J186&lt;$I186),"※到期日早于当票日期",IF(AND($H186&lt;&gt;"",COUNTIF($H$4:$H$403,$H186)&gt;1),"※当票号在本表里出现了不止一次",IF(AND($L186&lt;&gt;"",$E186=""),"※有金额没写客户","")))))))</f>
        <v/>
      </c>
    </row>
    <row r="187">
      <c r="A187" s="18">
        <f>IF($E187="","",COUNTA($E$4:$E187))</f>
        <v/>
      </c>
      <c r="B187" s="12" t="inlineStr">
        <is>
          <t>个人典当</t>
        </is>
      </c>
      <c r="C187" s="12" t="inlineStr">
        <is>
          <t>黄金</t>
        </is>
      </c>
      <c r="D187" s="12" t="inlineStr">
        <is>
          <t>在当</t>
        </is>
      </c>
      <c r="E187" s="12" t="inlineStr">
        <is>
          <t>郑庆民</t>
        </is>
      </c>
      <c r="F187" s="12" t="n"/>
      <c r="G187" s="12" t="n"/>
      <c r="H187" s="12" t="n"/>
      <c r="I187" s="19" t="n"/>
      <c r="J187" s="19" t="n"/>
      <c r="K187" s="19" t="n">
        <v>45472</v>
      </c>
      <c r="L187" s="20" t="n">
        <v>5000</v>
      </c>
      <c r="M187" s="20" t="n"/>
      <c r="N187" s="22">
        <f>IF($E187="","",ROUND(N($L187)-N($M187),2))</f>
        <v/>
      </c>
      <c r="O187" s="21" t="n"/>
      <c r="P187" s="20" t="n">
        <v>200</v>
      </c>
      <c r="Q187" s="12" t="inlineStr">
        <is>
          <t>29</t>
        </is>
      </c>
      <c r="R187" s="19" t="n">
        <v>46294</v>
      </c>
      <c r="S187" s="20" t="n"/>
      <c r="T187" s="20" t="n"/>
      <c r="U187" s="20" t="n"/>
      <c r="V187" s="12" t="n"/>
      <c r="W187" s="12" t="n"/>
      <c r="X187" s="18">
        <f>IF($E187="","",IF(AND($B187&lt;&gt;"",ISNA(MATCH($B187,机构表,0))),"※机构不在【资料】里",IF(AND($D187&lt;&gt;"",ISNA(MATCH($D187,状态表,0))),"※状态不在【资料】里",IF(N($M187)&gt;N($L187),"※已还本金大于典当金额",IF(AND($I187&lt;&gt;"",$J187&lt;&gt;"",$J187&lt;$I187),"※到期日早于当票日期",IF(AND($H187&lt;&gt;"",COUNTIF($H$4:$H$403,$H187)&gt;1),"※当票号在本表里出现了不止一次",IF(AND($L187&lt;&gt;"",$E187=""),"※有金额没写客户","")))))))</f>
        <v/>
      </c>
    </row>
    <row r="188">
      <c r="A188" s="18">
        <f>IF($E188="","",COUNTA($E$4:$E188))</f>
        <v/>
      </c>
      <c r="B188" s="12" t="inlineStr">
        <is>
          <t>个人典当</t>
        </is>
      </c>
      <c r="C188" s="12" t="inlineStr">
        <is>
          <t>黄金</t>
        </is>
      </c>
      <c r="D188" s="12" t="inlineStr">
        <is>
          <t>在当</t>
        </is>
      </c>
      <c r="E188" s="12" t="inlineStr">
        <is>
          <t>郑庆民</t>
        </is>
      </c>
      <c r="F188" s="12" t="n"/>
      <c r="G188" s="12" t="n"/>
      <c r="H188" s="12" t="n"/>
      <c r="I188" s="19" t="n"/>
      <c r="J188" s="19" t="n"/>
      <c r="K188" s="19" t="n">
        <v>45476</v>
      </c>
      <c r="L188" s="20" t="n">
        <v>8000</v>
      </c>
      <c r="M188" s="20" t="n"/>
      <c r="N188" s="22">
        <f>IF($E188="","",ROUND(N($L188)-N($M188),2))</f>
        <v/>
      </c>
      <c r="O188" s="21" t="n"/>
      <c r="P188" s="20" t="n">
        <v>240</v>
      </c>
      <c r="Q188" s="12" t="inlineStr">
        <is>
          <t>3</t>
        </is>
      </c>
      <c r="R188" s="19" t="n">
        <v>46268</v>
      </c>
      <c r="S188" s="20" t="n"/>
      <c r="T188" s="20" t="n"/>
      <c r="U188" s="20" t="n"/>
      <c r="V188" s="12" t="n"/>
      <c r="W188" s="12" t="n"/>
      <c r="X188" s="18">
        <f>IF($E188="","",IF(AND($B188&lt;&gt;"",ISNA(MATCH($B188,机构表,0))),"※机构不在【资料】里",IF(AND($D188&lt;&gt;"",ISNA(MATCH($D188,状态表,0))),"※状态不在【资料】里",IF(N($M188)&gt;N($L188),"※已还本金大于典当金额",IF(AND($I188&lt;&gt;"",$J188&lt;&gt;"",$J188&lt;$I188),"※到期日早于当票日期",IF(AND($H188&lt;&gt;"",COUNTIF($H$4:$H$403,$H188)&gt;1),"※当票号在本表里出现了不止一次",IF(AND($L188&lt;&gt;"",$E188=""),"※有金额没写客户","")))))))</f>
        <v/>
      </c>
    </row>
    <row r="189">
      <c r="A189" s="18">
        <f>IF($E189="","",COUNTA($E$4:$E189))</f>
        <v/>
      </c>
      <c r="B189" s="12" t="inlineStr">
        <is>
          <t>个人典当</t>
        </is>
      </c>
      <c r="C189" s="12" t="inlineStr">
        <is>
          <t>黄金</t>
        </is>
      </c>
      <c r="D189" s="12" t="inlineStr">
        <is>
          <t>在当</t>
        </is>
      </c>
      <c r="E189" s="12" t="inlineStr">
        <is>
          <t>郑庆民</t>
        </is>
      </c>
      <c r="F189" s="12" t="n"/>
      <c r="G189" s="12" t="n"/>
      <c r="H189" s="12" t="n"/>
      <c r="I189" s="19" t="n"/>
      <c r="J189" s="19" t="n"/>
      <c r="K189" s="19" t="n">
        <v>45550</v>
      </c>
      <c r="L189" s="20" t="n">
        <v>3000</v>
      </c>
      <c r="M189" s="20" t="n"/>
      <c r="N189" s="22">
        <f>IF($E189="","",ROUND(N($L189)-N($M189),2))</f>
        <v/>
      </c>
      <c r="O189" s="21" t="n"/>
      <c r="P189" s="20" t="n">
        <v>100</v>
      </c>
      <c r="Q189" s="12" t="inlineStr">
        <is>
          <t>15</t>
        </is>
      </c>
      <c r="R189" s="19" t="n">
        <v>46249</v>
      </c>
      <c r="S189" s="20" t="n"/>
      <c r="T189" s="20" t="n"/>
      <c r="U189" s="20" t="n"/>
      <c r="V189" s="12" t="n"/>
      <c r="W189" s="12" t="n"/>
      <c r="X189" s="18">
        <f>IF($E189="","",IF(AND($B189&lt;&gt;"",ISNA(MATCH($B189,机构表,0))),"※机构不在【资料】里",IF(AND($D189&lt;&gt;"",ISNA(MATCH($D189,状态表,0))),"※状态不在【资料】里",IF(N($M189)&gt;N($L189),"※已还本金大于典当金额",IF(AND($I189&lt;&gt;"",$J189&lt;&gt;"",$J189&lt;$I189),"※到期日早于当票日期",IF(AND($H189&lt;&gt;"",COUNTIF($H$4:$H$403,$H189)&gt;1),"※当票号在本表里出现了不止一次",IF(AND($L189&lt;&gt;"",$E189=""),"※有金额没写客户","")))))))</f>
        <v/>
      </c>
    </row>
    <row r="190">
      <c r="A190" s="18">
        <f>IF($E190="","",COUNTA($E$4:$E190))</f>
        <v/>
      </c>
      <c r="B190" s="12" t="inlineStr">
        <is>
          <t>个人典当</t>
        </is>
      </c>
      <c r="C190" s="12" t="inlineStr">
        <is>
          <t>白金</t>
        </is>
      </c>
      <c r="D190" s="12" t="inlineStr">
        <is>
          <t>在当</t>
        </is>
      </c>
      <c r="E190" s="12" t="inlineStr">
        <is>
          <t>郑庆民</t>
        </is>
      </c>
      <c r="F190" s="12" t="n"/>
      <c r="G190" s="12" t="n"/>
      <c r="H190" s="12" t="n"/>
      <c r="I190" s="19" t="n"/>
      <c r="J190" s="19" t="n"/>
      <c r="K190" s="19" t="n">
        <v>45569</v>
      </c>
      <c r="L190" s="20" t="n">
        <v>1000</v>
      </c>
      <c r="M190" s="20" t="n"/>
      <c r="N190" s="22">
        <f>IF($E190="","",ROUND(N($L190)-N($M190),2))</f>
        <v/>
      </c>
      <c r="O190" s="21" t="n"/>
      <c r="P190" s="20" t="n">
        <v>50</v>
      </c>
      <c r="Q190" s="12" t="inlineStr">
        <is>
          <t>4</t>
        </is>
      </c>
      <c r="R190" s="19" t="n">
        <v>46269</v>
      </c>
      <c r="S190" s="20" t="n"/>
      <c r="T190" s="20" t="n"/>
      <c r="U190" s="20" t="n"/>
      <c r="V190" s="12" t="n"/>
      <c r="W190" s="12" t="n"/>
      <c r="X190" s="18">
        <f>IF($E190="","",IF(AND($B190&lt;&gt;"",ISNA(MATCH($B190,机构表,0))),"※机构不在【资料】里",IF(AND($D190&lt;&gt;"",ISNA(MATCH($D190,状态表,0))),"※状态不在【资料】里",IF(N($M190)&gt;N($L190),"※已还本金大于典当金额",IF(AND($I190&lt;&gt;"",$J190&lt;&gt;"",$J190&lt;$I190),"※到期日早于当票日期",IF(AND($H190&lt;&gt;"",COUNTIF($H$4:$H$403,$H190)&gt;1),"※当票号在本表里出现了不止一次",IF(AND($L190&lt;&gt;"",$E190=""),"※有金额没写客户","")))))))</f>
        <v/>
      </c>
    </row>
    <row r="191">
      <c r="A191" s="18">
        <f>IF($E191="","",COUNTA($E$4:$E191))</f>
        <v/>
      </c>
      <c r="B191" s="12" t="inlineStr">
        <is>
          <t>个人典当</t>
        </is>
      </c>
      <c r="C191" s="12" t="inlineStr">
        <is>
          <t>车贷-没押车</t>
        </is>
      </c>
      <c r="D191" s="12" t="inlineStr">
        <is>
          <t>在当</t>
        </is>
      </c>
      <c r="E191" s="12" t="inlineStr">
        <is>
          <t>郑万楼</t>
        </is>
      </c>
      <c r="F191" s="12" t="n"/>
      <c r="G191" s="12" t="n"/>
      <c r="H191" s="12" t="n"/>
      <c r="I191" s="19" t="n"/>
      <c r="J191" s="19" t="n">
        <v>46283</v>
      </c>
      <c r="K191" s="19" t="n">
        <v>46100</v>
      </c>
      <c r="L191" s="20" t="n">
        <v>150000</v>
      </c>
      <c r="M191" s="20" t="n"/>
      <c r="N191" s="22">
        <f>IF($E191="","",ROUND(N($L191)-N($M191),2))</f>
        <v/>
      </c>
      <c r="O191" s="21" t="n"/>
      <c r="P191" s="20" t="n">
        <v>2250</v>
      </c>
      <c r="Q191" s="12" t="inlineStr">
        <is>
          <t>18</t>
        </is>
      </c>
      <c r="R191" s="19" t="n">
        <v>46283</v>
      </c>
      <c r="S191" s="20" t="n"/>
      <c r="T191" s="20" t="n"/>
      <c r="U191" s="20" t="n"/>
      <c r="V191" s="12" t="n"/>
      <c r="W191" s="12" t="n"/>
      <c r="X191" s="18">
        <f>IF($E191="","",IF(AND($B191&lt;&gt;"",ISNA(MATCH($B191,机构表,0))),"※机构不在【资料】里",IF(AND($D191&lt;&gt;"",ISNA(MATCH($D191,状态表,0))),"※状态不在【资料】里",IF(N($M191)&gt;N($L191),"※已还本金大于典当金额",IF(AND($I191&lt;&gt;"",$J191&lt;&gt;"",$J191&lt;$I191),"※到期日早于当票日期",IF(AND($H191&lt;&gt;"",COUNTIF($H$4:$H$403,$H191)&gt;1),"※当票号在本表里出现了不止一次",IF(AND($L191&lt;&gt;"",$E191=""),"※有金额没写客户","")))))))</f>
        <v/>
      </c>
    </row>
    <row r="192">
      <c r="A192" s="18">
        <f>IF($E192="","",COUNTA($E$4:$E192))</f>
        <v/>
      </c>
      <c r="B192" s="12" t="inlineStr">
        <is>
          <t>个人典当</t>
        </is>
      </c>
      <c r="C192" s="12" t="inlineStr">
        <is>
          <t>私人借款</t>
        </is>
      </c>
      <c r="D192" s="12" t="inlineStr">
        <is>
          <t>无法回款</t>
        </is>
      </c>
      <c r="E192" s="12" t="inlineStr">
        <is>
          <t>郑伟健</t>
        </is>
      </c>
      <c r="F192" s="12" t="n"/>
      <c r="G192" s="12" t="n"/>
      <c r="H192" s="12" t="n"/>
      <c r="I192" s="19" t="n"/>
      <c r="J192" s="19" t="n"/>
      <c r="K192" s="19" t="n">
        <v>45653</v>
      </c>
      <c r="L192" s="20" t="n">
        <v>26000</v>
      </c>
      <c r="M192" s="20" t="n"/>
      <c r="N192" s="22">
        <f>IF($E192="","",ROUND(N($L192)-N($M192),2))</f>
        <v/>
      </c>
      <c r="O192" s="21" t="n"/>
      <c r="P192" s="20" t="n"/>
      <c r="Q192" s="12" t="n"/>
      <c r="R192" s="19" t="n">
        <v>45653</v>
      </c>
      <c r="S192" s="20" t="n"/>
      <c r="T192" s="20" t="n"/>
      <c r="U192" s="20" t="n"/>
      <c r="V192" s="12" t="n"/>
      <c r="W192" s="12" t="inlineStr">
        <is>
          <t>无法回款</t>
        </is>
      </c>
      <c r="X192" s="18">
        <f>IF($E192="","",IF(AND($B192&lt;&gt;"",ISNA(MATCH($B192,机构表,0))),"※机构不在【资料】里",IF(AND($D192&lt;&gt;"",ISNA(MATCH($D192,状态表,0))),"※状态不在【资料】里",IF(N($M192)&gt;N($L192),"※已还本金大于典当金额",IF(AND($I192&lt;&gt;"",$J192&lt;&gt;"",$J192&lt;$I192),"※到期日早于当票日期",IF(AND($H192&lt;&gt;"",COUNTIF($H$4:$H$403,$H192)&gt;1),"※当票号在本表里出现了不止一次",IF(AND($L192&lt;&gt;"",$E192=""),"※有金额没写客户","")))))))</f>
        <v/>
      </c>
    </row>
    <row r="193">
      <c r="A193" s="18">
        <f>IF($E193="","",COUNTA($E$4:$E193))</f>
        <v/>
      </c>
      <c r="B193" s="12" t="inlineStr">
        <is>
          <t>金辉典当</t>
        </is>
      </c>
      <c r="C193" s="12" t="inlineStr">
        <is>
          <t>房产</t>
        </is>
      </c>
      <c r="D193" s="12" t="inlineStr">
        <is>
          <t>结款未赎</t>
        </is>
      </c>
      <c r="E193" s="12" t="inlineStr">
        <is>
          <t>郑祥波</t>
        </is>
      </c>
      <c r="F193" s="12" t="n"/>
      <c r="G193" s="12" t="n"/>
      <c r="H193" s="12" t="n"/>
      <c r="I193" s="19" t="n">
        <v>44649</v>
      </c>
      <c r="J193" s="19" t="n"/>
      <c r="K193" s="19" t="n">
        <v>45258</v>
      </c>
      <c r="L193" s="20" t="n">
        <v>100000</v>
      </c>
      <c r="M193" s="20" t="n"/>
      <c r="N193" s="22">
        <f>IF($E193="","",ROUND(N($L193)-N($M193),2))</f>
        <v/>
      </c>
      <c r="O193" s="21" t="n">
        <v>0.025</v>
      </c>
      <c r="P193" s="20" t="n">
        <v>2500</v>
      </c>
      <c r="Q193" s="12" t="n"/>
      <c r="R193" s="19" t="n">
        <v>45743</v>
      </c>
      <c r="S193" s="20" t="n"/>
      <c r="T193" s="20" t="n"/>
      <c r="U193" s="20" t="n">
        <v>3000</v>
      </c>
      <c r="V193" s="12" t="inlineStr">
        <is>
          <t>先息</t>
        </is>
      </c>
      <c r="W193" s="12" t="n"/>
      <c r="X193" s="18">
        <f>IF($E193="","",IF(AND($B193&lt;&gt;"",ISNA(MATCH($B193,机构表,0))),"※机构不在【资料】里",IF(AND($D193&lt;&gt;"",ISNA(MATCH($D193,状态表,0))),"※状态不在【资料】里",IF(N($M193)&gt;N($L193),"※已还本金大于典当金额",IF(AND($I193&lt;&gt;"",$J193&lt;&gt;"",$J193&lt;$I193),"※到期日早于当票日期",IF(AND($H193&lt;&gt;"",COUNTIF($H$4:$H$403,$H193)&gt;1),"※当票号在本表里出现了不止一次",IF(AND($L193&lt;&gt;"",$E193=""),"※有金额没写客户","")))))))</f>
        <v/>
      </c>
    </row>
    <row r="194">
      <c r="A194" s="18">
        <f>IF($E194="","",COUNTA($E$4:$E194))</f>
        <v/>
      </c>
      <c r="B194" s="12" t="inlineStr">
        <is>
          <t>金辉典当</t>
        </is>
      </c>
      <c r="C194" s="12" t="inlineStr">
        <is>
          <t>房产</t>
        </is>
      </c>
      <c r="D194" s="12" t="inlineStr">
        <is>
          <t>结款未赎</t>
        </is>
      </c>
      <c r="E194" s="12" t="inlineStr">
        <is>
          <t>郑祥波</t>
        </is>
      </c>
      <c r="F194" s="12" t="n"/>
      <c r="G194" s="12" t="n"/>
      <c r="H194" s="12" t="inlineStr">
        <is>
          <t>3519260523</t>
        </is>
      </c>
      <c r="I194" s="19" t="n">
        <v>46149</v>
      </c>
      <c r="J194" s="19" t="n">
        <v>46238</v>
      </c>
      <c r="K194" s="19" t="n"/>
      <c r="L194" s="20" t="n">
        <v>20000</v>
      </c>
      <c r="M194" s="20" t="n"/>
      <c r="N194" s="22">
        <f>IF($E194="","",ROUND(N($L194)-N($M194),2))</f>
        <v/>
      </c>
      <c r="O194" s="21" t="n">
        <v>0.025</v>
      </c>
      <c r="P194" s="20" t="n">
        <v>500</v>
      </c>
      <c r="Q194" s="12" t="n"/>
      <c r="R194" s="19" t="n">
        <v>46149</v>
      </c>
      <c r="S194" s="20" t="n"/>
      <c r="T194" s="20" t="n"/>
      <c r="U194" s="20" t="n"/>
      <c r="V194" s="12" t="n"/>
      <c r="W194" s="12" t="n"/>
      <c r="X194" s="18">
        <f>IF($E194="","",IF(AND($B194&lt;&gt;"",ISNA(MATCH($B194,机构表,0))),"※机构不在【资料】里",IF(AND($D194&lt;&gt;"",ISNA(MATCH($D194,状态表,0))),"※状态不在【资料】里",IF(N($M194)&gt;N($L194),"※已还本金大于典当金额",IF(AND($I194&lt;&gt;"",$J194&lt;&gt;"",$J194&lt;$I194),"※到期日早于当票日期",IF(AND($H194&lt;&gt;"",COUNTIF($H$4:$H$403,$H194)&gt;1),"※当票号在本表里出现了不止一次",IF(AND($L194&lt;&gt;"",$E194=""),"※有金额没写客户","")))))))</f>
        <v/>
      </c>
    </row>
    <row r="195">
      <c r="A195" s="18">
        <f>IF($E195="","",COUNTA($E$4:$E195))</f>
        <v/>
      </c>
      <c r="B195" s="12" t="inlineStr">
        <is>
          <t>金辉典当</t>
        </is>
      </c>
      <c r="C195" s="12" t="inlineStr">
        <is>
          <t>房产</t>
        </is>
      </c>
      <c r="D195" s="12" t="inlineStr">
        <is>
          <t>起诉</t>
        </is>
      </c>
      <c r="E195" s="12" t="inlineStr">
        <is>
          <t>郑怡</t>
        </is>
      </c>
      <c r="F195" s="12" t="n"/>
      <c r="G195" s="12" t="n"/>
      <c r="H195" s="12" t="inlineStr">
        <is>
          <t>3519252792</t>
        </is>
      </c>
      <c r="I195" s="19" t="n">
        <v>45819</v>
      </c>
      <c r="J195" s="19" t="n">
        <v>45998</v>
      </c>
      <c r="K195" s="19" t="n"/>
      <c r="L195" s="20" t="n">
        <v>790000</v>
      </c>
      <c r="M195" s="20" t="n"/>
      <c r="N195" s="22">
        <f>IF($E195="","",ROUND(N($L195)-N($M195),2))</f>
        <v/>
      </c>
      <c r="O195" s="21" t="n">
        <v>0.025</v>
      </c>
      <c r="P195" s="20" t="n">
        <v>19750</v>
      </c>
      <c r="Q195" s="12" t="inlineStr">
        <is>
          <t>11</t>
        </is>
      </c>
      <c r="R195" s="19" t="n">
        <v>45819</v>
      </c>
      <c r="S195" s="20" t="n"/>
      <c r="T195" s="20" t="n"/>
      <c r="U195" s="20" t="n"/>
      <c r="V195" s="12" t="inlineStr">
        <is>
          <t>先息</t>
        </is>
      </c>
      <c r="W195" s="12" t="n"/>
      <c r="X195" s="18">
        <f>IF($E195="","",IF(AND($B195&lt;&gt;"",ISNA(MATCH($B195,机构表,0))),"※机构不在【资料】里",IF(AND($D195&lt;&gt;"",ISNA(MATCH($D195,状态表,0))),"※状态不在【资料】里",IF(N($M195)&gt;N($L195),"※已还本金大于典当金额",IF(AND($I195&lt;&gt;"",$J195&lt;&gt;"",$J195&lt;$I195),"※到期日早于当票日期",IF(AND($H195&lt;&gt;"",COUNTIF($H$4:$H$403,$H195)&gt;1),"※当票号在本表里出现了不止一次",IF(AND($L195&lt;&gt;"",$E195=""),"※有金额没写客户","")))))))</f>
        <v/>
      </c>
    </row>
    <row r="196">
      <c r="A196" s="18">
        <f>IF($E196="","",COUNTA($E$4:$E196))</f>
        <v/>
      </c>
      <c r="B196" s="12" t="inlineStr">
        <is>
          <t>金辉典当</t>
        </is>
      </c>
      <c r="C196" s="12" t="inlineStr">
        <is>
          <t>房产</t>
        </is>
      </c>
      <c r="D196" s="12" t="inlineStr">
        <is>
          <t>起诉</t>
        </is>
      </c>
      <c r="E196" s="12" t="inlineStr">
        <is>
          <t>郑永贵</t>
        </is>
      </c>
      <c r="F196" s="12" t="n"/>
      <c r="G196" s="12" t="n"/>
      <c r="H196" s="12" t="inlineStr">
        <is>
          <t>3519252780</t>
        </is>
      </c>
      <c r="I196" s="19" t="n">
        <v>45723</v>
      </c>
      <c r="J196" s="19" t="n">
        <v>45812</v>
      </c>
      <c r="K196" s="19" t="n"/>
      <c r="L196" s="20" t="n">
        <v>250000</v>
      </c>
      <c r="M196" s="20" t="n"/>
      <c r="N196" s="22">
        <f>IF($E196="","",ROUND(N($L196)-N($M196),2))</f>
        <v/>
      </c>
      <c r="O196" s="21" t="n">
        <v>0.025</v>
      </c>
      <c r="P196" s="20" t="n">
        <v>13750</v>
      </c>
      <c r="Q196" s="12" t="inlineStr">
        <is>
          <t>7</t>
        </is>
      </c>
      <c r="R196" s="19" t="n">
        <v>45968</v>
      </c>
      <c r="S196" s="20" t="n"/>
      <c r="T196" s="20" t="n"/>
      <c r="U196" s="20" t="n"/>
      <c r="V196" s="12" t="inlineStr">
        <is>
          <t>先息</t>
        </is>
      </c>
      <c r="W196" s="12" t="n"/>
      <c r="X196" s="18">
        <f>IF($E196="","",IF(AND($B196&lt;&gt;"",ISNA(MATCH($B196,机构表,0))),"※机构不在【资料】里",IF(AND($D196&lt;&gt;"",ISNA(MATCH($D196,状态表,0))),"※状态不在【资料】里",IF(N($M196)&gt;N($L196),"※已还本金大于典当金额",IF(AND($I196&lt;&gt;"",$J196&lt;&gt;"",$J196&lt;$I196),"※到期日早于当票日期",IF(AND($H196&lt;&gt;"",COUNTIF($H$4:$H$403,$H196)&gt;1),"※当票号在本表里出现了不止一次",IF(AND($L196&lt;&gt;"",$E196=""),"※有金额没写客户","")))))))</f>
        <v/>
      </c>
    </row>
    <row r="197">
      <c r="A197" s="18">
        <f>IF($E197="","",COUNTA($E$4:$E197))</f>
        <v/>
      </c>
      <c r="B197" s="12" t="inlineStr">
        <is>
          <t>个人典当</t>
        </is>
      </c>
      <c r="C197" s="12" t="inlineStr">
        <is>
          <t>黄金</t>
        </is>
      </c>
      <c r="D197" s="12" t="inlineStr">
        <is>
          <t>绝当未处置</t>
        </is>
      </c>
      <c r="E197" s="12" t="inlineStr">
        <is>
          <t>郑永键</t>
        </is>
      </c>
      <c r="F197" s="12" t="n"/>
      <c r="G197" s="12" t="n"/>
      <c r="H197" s="12" t="n"/>
      <c r="I197" s="19" t="n"/>
      <c r="J197" s="19" t="n"/>
      <c r="K197" s="19" t="n">
        <v>46120</v>
      </c>
      <c r="L197" s="20" t="n">
        <v>70000</v>
      </c>
      <c r="M197" s="20" t="n"/>
      <c r="N197" s="22">
        <f>IF($E197="","",ROUND(N($L197)-N($M197),2))</f>
        <v/>
      </c>
      <c r="O197" s="21" t="n"/>
      <c r="P197" s="20" t="n">
        <v>1750</v>
      </c>
      <c r="Q197" s="12" t="inlineStr">
        <is>
          <t>7</t>
        </is>
      </c>
      <c r="R197" s="19" t="n">
        <v>46210</v>
      </c>
      <c r="S197" s="20" t="n"/>
      <c r="T197" s="20" t="n"/>
      <c r="U197" s="20" t="n"/>
      <c r="V197" s="12" t="n"/>
      <c r="W197" s="12" t="n"/>
      <c r="X197" s="18">
        <f>IF($E197="","",IF(AND($B197&lt;&gt;"",ISNA(MATCH($B197,机构表,0))),"※机构不在【资料】里",IF(AND($D197&lt;&gt;"",ISNA(MATCH($D197,状态表,0))),"※状态不在【资料】里",IF(N($M197)&gt;N($L197),"※已还本金大于典当金额",IF(AND($I197&lt;&gt;"",$J197&lt;&gt;"",$J197&lt;$I197),"※到期日早于当票日期",IF(AND($H197&lt;&gt;"",COUNTIF($H$4:$H$403,$H197)&gt;1),"※当票号在本表里出现了不止一次",IF(AND($L197&lt;&gt;"",$E197=""),"※有金额没写客户","")))))))</f>
        <v/>
      </c>
    </row>
    <row r="198">
      <c r="A198" s="18">
        <f>IF($E198="","",COUNTA($E$4:$E198))</f>
        <v/>
      </c>
      <c r="B198" s="12" t="inlineStr">
        <is>
          <t>个人典当</t>
        </is>
      </c>
      <c r="C198" s="12" t="inlineStr">
        <is>
          <t>私人借款</t>
        </is>
      </c>
      <c r="D198" s="12" t="inlineStr">
        <is>
          <t>在当</t>
        </is>
      </c>
      <c r="E198" s="12" t="inlineStr">
        <is>
          <t>钟红秀</t>
        </is>
      </c>
      <c r="F198" s="12" t="n"/>
      <c r="G198" s="12" t="n"/>
      <c r="H198" s="12" t="n"/>
      <c r="I198" s="19" t="n"/>
      <c r="J198" s="19" t="n">
        <v>46333</v>
      </c>
      <c r="K198" s="19" t="n">
        <v>46274</v>
      </c>
      <c r="L198" s="20" t="n">
        <v>50000</v>
      </c>
      <c r="M198" s="20" t="n"/>
      <c r="N198" s="22">
        <f>IF($E198="","",ROUND(N($L198)-N($M198),2))</f>
        <v/>
      </c>
      <c r="O198" s="21" t="n"/>
      <c r="P198" s="20" t="n">
        <v>1250</v>
      </c>
      <c r="Q198" s="12" t="inlineStr">
        <is>
          <t>9</t>
        </is>
      </c>
      <c r="R198" s="19" t="n">
        <v>46274</v>
      </c>
      <c r="S198" s="20" t="n"/>
      <c r="T198" s="20" t="n"/>
      <c r="U198" s="20" t="n"/>
      <c r="V198" s="12" t="n"/>
      <c r="W198" s="12" t="n"/>
      <c r="X198" s="18">
        <f>IF($E198="","",IF(AND($B198&lt;&gt;"",ISNA(MATCH($B198,机构表,0))),"※机构不在【资料】里",IF(AND($D198&lt;&gt;"",ISNA(MATCH($D198,状态表,0))),"※状态不在【资料】里",IF(N($M198)&gt;N($L198),"※已还本金大于典当金额",IF(AND($I198&lt;&gt;"",$J198&lt;&gt;"",$J198&lt;$I198),"※到期日早于当票日期",IF(AND($H198&lt;&gt;"",COUNTIF($H$4:$H$403,$H198)&gt;1),"※当票号在本表里出现了不止一次",IF(AND($L198&lt;&gt;"",$E198=""),"※有金额没写客户","")))))))</f>
        <v/>
      </c>
    </row>
    <row r="199">
      <c r="A199" s="18">
        <f>IF($E199="","",COUNTA($E$4:$E199))</f>
        <v/>
      </c>
      <c r="B199" s="12" t="inlineStr">
        <is>
          <t>金辉典当</t>
        </is>
      </c>
      <c r="C199" s="12" t="inlineStr">
        <is>
          <t>房产</t>
        </is>
      </c>
      <c r="D199" s="12" t="inlineStr">
        <is>
          <t>起诉</t>
        </is>
      </c>
      <c r="E199" s="12" t="inlineStr">
        <is>
          <t>周晓斌</t>
        </is>
      </c>
      <c r="F199" s="12" t="n"/>
      <c r="G199" s="12" t="n"/>
      <c r="H199" s="12" t="inlineStr">
        <is>
          <t>3519121345</t>
        </is>
      </c>
      <c r="I199" s="19" t="n">
        <v>44818</v>
      </c>
      <c r="J199" s="19" t="n"/>
      <c r="K199" s="19" t="n">
        <v>45244</v>
      </c>
      <c r="L199" s="20" t="n">
        <v>200000</v>
      </c>
      <c r="M199" s="20" t="n"/>
      <c r="N199" s="22">
        <f>IF($E199="","",ROUND(N($L199)-N($M199),2))</f>
        <v/>
      </c>
      <c r="O199" s="21" t="n">
        <v>0.025</v>
      </c>
      <c r="P199" s="20" t="n">
        <v>5000</v>
      </c>
      <c r="Q199" s="12" t="inlineStr">
        <is>
          <t>14</t>
        </is>
      </c>
      <c r="R199" s="19" t="n">
        <v>45336</v>
      </c>
      <c r="S199" s="20" t="n"/>
      <c r="T199" s="20" t="n"/>
      <c r="U199" s="20" t="n">
        <v>5000</v>
      </c>
      <c r="V199" s="12" t="inlineStr">
        <is>
          <t>先息</t>
        </is>
      </c>
      <c r="W199" s="12" t="n"/>
      <c r="X199" s="18">
        <f>IF($E199="","",IF(AND($B199&lt;&gt;"",ISNA(MATCH($B199,机构表,0))),"※机构不在【资料】里",IF(AND($D199&lt;&gt;"",ISNA(MATCH($D199,状态表,0))),"※状态不在【资料】里",IF(N($M199)&gt;N($L199),"※已还本金大于典当金额",IF(AND($I199&lt;&gt;"",$J199&lt;&gt;"",$J199&lt;$I199),"※到期日早于当票日期",IF(AND($H199&lt;&gt;"",COUNTIF($H$4:$H$403,$H199)&gt;1),"※当票号在本表里出现了不止一次",IF(AND($L199&lt;&gt;"",$E199=""),"※有金额没写客户","")))))))</f>
        <v/>
      </c>
    </row>
    <row r="200">
      <c r="A200" s="18">
        <f>IF($E200="","",COUNTA($E$4:$E200))</f>
        <v/>
      </c>
      <c r="B200" s="12" t="inlineStr">
        <is>
          <t>个人典当</t>
        </is>
      </c>
      <c r="C200" s="12" t="inlineStr">
        <is>
          <t>私人借款</t>
        </is>
      </c>
      <c r="D200" s="12" t="inlineStr">
        <is>
          <t>起诉</t>
        </is>
      </c>
      <c r="E200" s="12" t="inlineStr">
        <is>
          <t>周晓斌</t>
        </is>
      </c>
      <c r="F200" s="12" t="n"/>
      <c r="G200" s="12" t="n"/>
      <c r="H200" s="12" t="n"/>
      <c r="I200" s="19" t="n"/>
      <c r="J200" s="19" t="n"/>
      <c r="K200" s="19" t="n">
        <v>44088</v>
      </c>
      <c r="L200" s="20" t="n">
        <v>50000</v>
      </c>
      <c r="M200" s="20" t="n"/>
      <c r="N200" s="22">
        <f>IF($E200="","",ROUND(N($L200)-N($M200),2))</f>
        <v/>
      </c>
      <c r="O200" s="21" t="n"/>
      <c r="P200" s="20" t="n">
        <v>1250</v>
      </c>
      <c r="Q200" s="12" t="inlineStr">
        <is>
          <t>14</t>
        </is>
      </c>
      <c r="R200" s="19" t="n">
        <v>45336</v>
      </c>
      <c r="S200" s="20" t="n"/>
      <c r="T200" s="20" t="n"/>
      <c r="U200" s="20" t="n"/>
      <c r="V200" s="12" t="n"/>
      <c r="W200" s="12" t="n"/>
      <c r="X200" s="18">
        <f>IF($E200="","",IF(AND($B200&lt;&gt;"",ISNA(MATCH($B200,机构表,0))),"※机构不在【资料】里",IF(AND($D200&lt;&gt;"",ISNA(MATCH($D200,状态表,0))),"※状态不在【资料】里",IF(N($M200)&gt;N($L200),"※已还本金大于典当金额",IF(AND($I200&lt;&gt;"",$J200&lt;&gt;"",$J200&lt;$I200),"※到期日早于当票日期",IF(AND($H200&lt;&gt;"",COUNTIF($H$4:$H$403,$H200)&gt;1),"※当票号在本表里出现了不止一次",IF(AND($L200&lt;&gt;"",$E200=""),"※有金额没写客户","")))))))</f>
        <v/>
      </c>
    </row>
    <row r="201">
      <c r="A201" s="18">
        <f>IF($E201="","",COUNTA($E$4:$E201))</f>
        <v/>
      </c>
      <c r="B201" s="12" t="inlineStr">
        <is>
          <t>金辉典当</t>
        </is>
      </c>
      <c r="C201" s="12" t="inlineStr">
        <is>
          <t>房产</t>
        </is>
      </c>
      <c r="D201" s="12" t="inlineStr">
        <is>
          <t>起诉还款</t>
        </is>
      </c>
      <c r="E201" s="12" t="inlineStr">
        <is>
          <t>朱俊良</t>
        </is>
      </c>
      <c r="F201" s="12" t="n"/>
      <c r="G201" s="12" t="n"/>
      <c r="H201" s="12" t="inlineStr">
        <is>
          <t>3519123869</t>
        </is>
      </c>
      <c r="I201" s="19" t="n">
        <v>44834</v>
      </c>
      <c r="J201" s="19" t="n"/>
      <c r="K201" s="19" t="n">
        <v>45214</v>
      </c>
      <c r="L201" s="20" t="n">
        <v>75000</v>
      </c>
      <c r="M201" s="20" t="n"/>
      <c r="N201" s="22">
        <f>IF($E201="","",ROUND(N($L201)-N($M201),2))</f>
        <v/>
      </c>
      <c r="O201" s="21" t="n">
        <v>0.025</v>
      </c>
      <c r="P201" s="20" t="n">
        <v>1875</v>
      </c>
      <c r="Q201" s="12" t="inlineStr">
        <is>
          <t>30</t>
        </is>
      </c>
      <c r="R201" s="19" t="n">
        <v>45229</v>
      </c>
      <c r="S201" s="20" t="n"/>
      <c r="T201" s="20" t="n"/>
      <c r="U201" s="20" t="n">
        <v>1875</v>
      </c>
      <c r="V201" s="12" t="inlineStr">
        <is>
          <t>先息</t>
        </is>
      </c>
      <c r="W201" s="12" t="n"/>
      <c r="X201" s="18">
        <f>IF($E201="","",IF(AND($B201&lt;&gt;"",ISNA(MATCH($B201,机构表,0))),"※机构不在【资料】里",IF(AND($D201&lt;&gt;"",ISNA(MATCH($D201,状态表,0))),"※状态不在【资料】里",IF(N($M201)&gt;N($L201),"※已还本金大于典当金额",IF(AND($I201&lt;&gt;"",$J201&lt;&gt;"",$J201&lt;$I201),"※到期日早于当票日期",IF(AND($H201&lt;&gt;"",COUNTIF($H$4:$H$403,$H201)&gt;1),"※当票号在本表里出现了不止一次",IF(AND($L201&lt;&gt;"",$E201=""),"※有金额没写客户","")))))))</f>
        <v/>
      </c>
    </row>
    <row r="202">
      <c r="A202" s="18">
        <f>IF($E202="","",COUNTA($E$4:$E202))</f>
        <v/>
      </c>
      <c r="B202" s="12" t="inlineStr">
        <is>
          <t>金辉典当</t>
        </is>
      </c>
      <c r="C202" s="12" t="inlineStr">
        <is>
          <t>房产</t>
        </is>
      </c>
      <c r="D202" s="12" t="inlineStr">
        <is>
          <t>起诉</t>
        </is>
      </c>
      <c r="E202" s="12" t="inlineStr">
        <is>
          <t>朱颜</t>
        </is>
      </c>
      <c r="F202" s="12" t="n"/>
      <c r="G202" s="12" t="n"/>
      <c r="H202" s="12" t="n"/>
      <c r="I202" s="19" t="n">
        <v>45034</v>
      </c>
      <c r="J202" s="19" t="n"/>
      <c r="K202" s="19" t="n">
        <v>45248</v>
      </c>
      <c r="L202" s="20" t="n">
        <v>150000</v>
      </c>
      <c r="M202" s="20" t="n"/>
      <c r="N202" s="22">
        <f>IF($E202="","",ROUND(N($L202)-N($M202),2))</f>
        <v/>
      </c>
      <c r="O202" s="21" t="n">
        <v>0.028</v>
      </c>
      <c r="P202" s="20" t="n">
        <v>4200</v>
      </c>
      <c r="Q202" s="12" t="inlineStr">
        <is>
          <t>12</t>
        </is>
      </c>
      <c r="R202" s="19" t="n">
        <v>45700</v>
      </c>
      <c r="S202" s="20" t="n"/>
      <c r="T202" s="20" t="n"/>
      <c r="U202" s="20" t="n">
        <v>4200</v>
      </c>
      <c r="V202" s="12" t="inlineStr">
        <is>
          <t>先息</t>
        </is>
      </c>
      <c r="W202" s="12" t="n"/>
      <c r="X202" s="18">
        <f>IF($E202="","",IF(AND($B202&lt;&gt;"",ISNA(MATCH($B202,机构表,0))),"※机构不在【资料】里",IF(AND($D202&lt;&gt;"",ISNA(MATCH($D202,状态表,0))),"※状态不在【资料】里",IF(N($M202)&gt;N($L202),"※已还本金大于典当金额",IF(AND($I202&lt;&gt;"",$J202&lt;&gt;"",$J202&lt;$I202),"※到期日早于当票日期",IF(AND($H202&lt;&gt;"",COUNTIF($H$4:$H$403,$H202)&gt;1),"※当票号在本表里出现了不止一次",IF(AND($L202&lt;&gt;"",$E202=""),"※有金额没写客户","")))))))</f>
        <v/>
      </c>
    </row>
    <row r="203">
      <c r="A203" s="18">
        <f>IF($E203="","",COUNTA($E$4:$E203))</f>
        <v/>
      </c>
      <c r="B203" s="12" t="inlineStr">
        <is>
          <t>个人典当</t>
        </is>
      </c>
      <c r="C203" s="12" t="inlineStr">
        <is>
          <t>私人借款</t>
        </is>
      </c>
      <c r="D203" s="12" t="inlineStr">
        <is>
          <t>起诉</t>
        </is>
      </c>
      <c r="E203" s="12" t="inlineStr">
        <is>
          <t>朱颜</t>
        </is>
      </c>
      <c r="F203" s="12" t="n"/>
      <c r="G203" s="12" t="n"/>
      <c r="H203" s="12" t="n"/>
      <c r="I203" s="19" t="n"/>
      <c r="J203" s="19" t="n"/>
      <c r="K203" s="19" t="n">
        <v>45040</v>
      </c>
      <c r="L203" s="20" t="n">
        <v>900000</v>
      </c>
      <c r="M203" s="20" t="n"/>
      <c r="N203" s="22">
        <f>IF($E203="","",ROUND(N($L203)-N($M203),2))</f>
        <v/>
      </c>
      <c r="O203" s="21" t="n"/>
      <c r="P203" s="20" t="n">
        <v>25200</v>
      </c>
      <c r="Q203" s="12" t="inlineStr">
        <is>
          <t>13</t>
        </is>
      </c>
      <c r="R203" s="19" t="n">
        <v>45701</v>
      </c>
      <c r="S203" s="20" t="n"/>
      <c r="T203" s="20" t="n"/>
      <c r="U203" s="20" t="n"/>
      <c r="V203" s="12" t="n"/>
      <c r="W203" s="12" t="n"/>
      <c r="X203" s="18">
        <f>IF($E203="","",IF(AND($B203&lt;&gt;"",ISNA(MATCH($B203,机构表,0))),"※机构不在【资料】里",IF(AND($D203&lt;&gt;"",ISNA(MATCH($D203,状态表,0))),"※状态不在【资料】里",IF(N($M203)&gt;N($L203),"※已还本金大于典当金额",IF(AND($I203&lt;&gt;"",$J203&lt;&gt;"",$J203&lt;$I203),"※到期日早于当票日期",IF(AND($H203&lt;&gt;"",COUNTIF($H$4:$H$403,$H203)&gt;1),"※当票号在本表里出现了不止一次",IF(AND($L203&lt;&gt;"",$E203=""),"※有金额没写客户","")))))))</f>
        <v/>
      </c>
    </row>
    <row r="204">
      <c r="A204" s="18">
        <f>IF($E204="","",COUNTA($E$4:$E204))</f>
        <v/>
      </c>
      <c r="B204" s="12" t="inlineStr">
        <is>
          <t>个人典当</t>
        </is>
      </c>
      <c r="C204" s="12" t="inlineStr">
        <is>
          <t>私人借款</t>
        </is>
      </c>
      <c r="D204" s="12" t="inlineStr">
        <is>
          <t>无法回款</t>
        </is>
      </c>
      <c r="E204" s="12" t="inlineStr">
        <is>
          <t>邹振辉</t>
        </is>
      </c>
      <c r="F204" s="12" t="n"/>
      <c r="G204" s="12" t="n"/>
      <c r="H204" s="12" t="n"/>
      <c r="I204" s="19" t="n"/>
      <c r="J204" s="19" t="n"/>
      <c r="K204" s="19" t="n">
        <v>44896</v>
      </c>
      <c r="L204" s="20" t="n">
        <v>20000</v>
      </c>
      <c r="M204" s="20" t="n"/>
      <c r="N204" s="22">
        <f>IF($E204="","",ROUND(N($L204)-N($M204),2))</f>
        <v/>
      </c>
      <c r="O204" s="21" t="n"/>
      <c r="P204" s="20" t="n"/>
      <c r="Q204" s="12" t="n"/>
      <c r="R204" s="19" t="n"/>
      <c r="S204" s="20" t="n"/>
      <c r="T204" s="20" t="n"/>
      <c r="U204" s="20" t="n"/>
      <c r="V204" s="12" t="n"/>
      <c r="W204" s="12" t="inlineStr">
        <is>
          <t>无法回款</t>
        </is>
      </c>
      <c r="X204" s="18">
        <f>IF($E204="","",IF(AND($B204&lt;&gt;"",ISNA(MATCH($B204,机构表,0))),"※机构不在【资料】里",IF(AND($D204&lt;&gt;"",ISNA(MATCH($D204,状态表,0))),"※状态不在【资料】里",IF(N($M204)&gt;N($L204),"※已还本金大于典当金额",IF(AND($I204&lt;&gt;"",$J204&lt;&gt;"",$J204&lt;$I204),"※到期日早于当票日期",IF(AND($H204&lt;&gt;"",COUNTIF($H$4:$H$403,$H204)&gt;1),"※当票号在本表里出现了不止一次",IF(AND($L204&lt;&gt;"",$E204=""),"※有金额没写客户","")))))))</f>
        <v/>
      </c>
    </row>
    <row r="205">
      <c r="A205" s="18">
        <f>IF($E205="","",COUNTA($E$4:$E205))</f>
        <v/>
      </c>
      <c r="B205" s="12" t="n"/>
      <c r="C205" s="12" t="n"/>
      <c r="D205" s="12" t="n"/>
      <c r="E205" s="12" t="n"/>
      <c r="F205" s="12" t="n"/>
      <c r="G205" s="12" t="n"/>
      <c r="H205" s="12" t="n"/>
      <c r="I205" s="19" t="n"/>
      <c r="J205" s="19" t="n"/>
      <c r="K205" s="19" t="n"/>
      <c r="L205" s="20" t="n"/>
      <c r="M205" s="20" t="n"/>
      <c r="N205" s="22">
        <f>IF($E205="","",ROUND(N($L205)-N($M205),2))</f>
        <v/>
      </c>
      <c r="O205" s="21" t="n"/>
      <c r="P205" s="20" t="n"/>
      <c r="Q205" s="12" t="n"/>
      <c r="R205" s="19" t="n"/>
      <c r="S205" s="20" t="n"/>
      <c r="T205" s="20" t="n"/>
      <c r="U205" s="20" t="n"/>
      <c r="V205" s="12" t="n"/>
      <c r="W205" s="12" t="n"/>
      <c r="X205" s="18">
        <f>IF($E205="","",IF(AND($B205&lt;&gt;"",ISNA(MATCH($B205,机构表,0))),"※机构不在【资料】里",IF(AND($D205&lt;&gt;"",ISNA(MATCH($D205,状态表,0))),"※状态不在【资料】里",IF(N($M205)&gt;N($L205),"※已还本金大于典当金额",IF(AND($I205&lt;&gt;"",$J205&lt;&gt;"",$J205&lt;$I205),"※到期日早于当票日期",IF(AND($H205&lt;&gt;"",COUNTIF($H$4:$H$403,$H205)&gt;1),"※当票号在本表里出现了不止一次",IF(AND($L205&lt;&gt;"",$E205=""),"※有金额没写客户","")))))))</f>
        <v/>
      </c>
    </row>
    <row r="206">
      <c r="A206" s="18">
        <f>IF($E206="","",COUNTA($E$4:$E206))</f>
        <v/>
      </c>
      <c r="B206" s="12" t="n"/>
      <c r="C206" s="12" t="n"/>
      <c r="D206" s="12" t="n"/>
      <c r="E206" s="12" t="n"/>
      <c r="F206" s="12" t="n"/>
      <c r="G206" s="12" t="n"/>
      <c r="H206" s="12" t="n"/>
      <c r="I206" s="19" t="n"/>
      <c r="J206" s="19" t="n"/>
      <c r="K206" s="19" t="n"/>
      <c r="L206" s="20" t="n"/>
      <c r="M206" s="20" t="n"/>
      <c r="N206" s="22">
        <f>IF($E206="","",ROUND(N($L206)-N($M206),2))</f>
        <v/>
      </c>
      <c r="O206" s="21" t="n"/>
      <c r="P206" s="20" t="n"/>
      <c r="Q206" s="12" t="n"/>
      <c r="R206" s="19" t="n"/>
      <c r="S206" s="20" t="n"/>
      <c r="T206" s="20" t="n"/>
      <c r="U206" s="20" t="n"/>
      <c r="V206" s="12" t="n"/>
      <c r="W206" s="12" t="n"/>
      <c r="X206" s="18">
        <f>IF($E206="","",IF(AND($B206&lt;&gt;"",ISNA(MATCH($B206,机构表,0))),"※机构不在【资料】里",IF(AND($D206&lt;&gt;"",ISNA(MATCH($D206,状态表,0))),"※状态不在【资料】里",IF(N($M206)&gt;N($L206),"※已还本金大于典当金额",IF(AND($I206&lt;&gt;"",$J206&lt;&gt;"",$J206&lt;$I206),"※到期日早于当票日期",IF(AND($H206&lt;&gt;"",COUNTIF($H$4:$H$403,$H206)&gt;1),"※当票号在本表里出现了不止一次",IF(AND($L206&lt;&gt;"",$E206=""),"※有金额没写客户","")))))))</f>
        <v/>
      </c>
    </row>
    <row r="207">
      <c r="A207" s="18">
        <f>IF($E207="","",COUNTA($E$4:$E207))</f>
        <v/>
      </c>
      <c r="B207" s="12" t="n"/>
      <c r="C207" s="12" t="n"/>
      <c r="D207" s="12" t="n"/>
      <c r="E207" s="12" t="n"/>
      <c r="F207" s="12" t="n"/>
      <c r="G207" s="12" t="n"/>
      <c r="H207" s="12" t="n"/>
      <c r="I207" s="19" t="n"/>
      <c r="J207" s="19" t="n"/>
      <c r="K207" s="19" t="n"/>
      <c r="L207" s="20" t="n"/>
      <c r="M207" s="20" t="n"/>
      <c r="N207" s="22">
        <f>IF($E207="","",ROUND(N($L207)-N($M207),2))</f>
        <v/>
      </c>
      <c r="O207" s="21" t="n"/>
      <c r="P207" s="20" t="n"/>
      <c r="Q207" s="12" t="n"/>
      <c r="R207" s="19" t="n"/>
      <c r="S207" s="20" t="n"/>
      <c r="T207" s="20" t="n"/>
      <c r="U207" s="20" t="n"/>
      <c r="V207" s="12" t="n"/>
      <c r="W207" s="12" t="n"/>
      <c r="X207" s="18">
        <f>IF($E207="","",IF(AND($B207&lt;&gt;"",ISNA(MATCH($B207,机构表,0))),"※机构不在【资料】里",IF(AND($D207&lt;&gt;"",ISNA(MATCH($D207,状态表,0))),"※状态不在【资料】里",IF(N($M207)&gt;N($L207),"※已还本金大于典当金额",IF(AND($I207&lt;&gt;"",$J207&lt;&gt;"",$J207&lt;$I207),"※到期日早于当票日期",IF(AND($H207&lt;&gt;"",COUNTIF($H$4:$H$403,$H207)&gt;1),"※当票号在本表里出现了不止一次",IF(AND($L207&lt;&gt;"",$E207=""),"※有金额没写客户","")))))))</f>
        <v/>
      </c>
    </row>
    <row r="208">
      <c r="A208" s="18">
        <f>IF($E208="","",COUNTA($E$4:$E208))</f>
        <v/>
      </c>
      <c r="B208" s="12" t="n"/>
      <c r="C208" s="12" t="n"/>
      <c r="D208" s="12" t="n"/>
      <c r="E208" s="12" t="n"/>
      <c r="F208" s="12" t="n"/>
      <c r="G208" s="12" t="n"/>
      <c r="H208" s="12" t="n"/>
      <c r="I208" s="19" t="n"/>
      <c r="J208" s="19" t="n"/>
      <c r="K208" s="19" t="n"/>
      <c r="L208" s="20" t="n"/>
      <c r="M208" s="20" t="n"/>
      <c r="N208" s="22">
        <f>IF($E208="","",ROUND(N($L208)-N($M208),2))</f>
        <v/>
      </c>
      <c r="O208" s="21" t="n"/>
      <c r="P208" s="20" t="n"/>
      <c r="Q208" s="12" t="n"/>
      <c r="R208" s="19" t="n"/>
      <c r="S208" s="20" t="n"/>
      <c r="T208" s="20" t="n"/>
      <c r="U208" s="20" t="n"/>
      <c r="V208" s="12" t="n"/>
      <c r="W208" s="12" t="n"/>
      <c r="X208" s="18">
        <f>IF($E208="","",IF(AND($B208&lt;&gt;"",ISNA(MATCH($B208,机构表,0))),"※机构不在【资料】里",IF(AND($D208&lt;&gt;"",ISNA(MATCH($D208,状态表,0))),"※状态不在【资料】里",IF(N($M208)&gt;N($L208),"※已还本金大于典当金额",IF(AND($I208&lt;&gt;"",$J208&lt;&gt;"",$J208&lt;$I208),"※到期日早于当票日期",IF(AND($H208&lt;&gt;"",COUNTIF($H$4:$H$403,$H208)&gt;1),"※当票号在本表里出现了不止一次",IF(AND($L208&lt;&gt;"",$E208=""),"※有金额没写客户","")))))))</f>
        <v/>
      </c>
    </row>
    <row r="209">
      <c r="A209" s="18">
        <f>IF($E209="","",COUNTA($E$4:$E209))</f>
        <v/>
      </c>
      <c r="B209" s="12" t="n"/>
      <c r="C209" s="12" t="n"/>
      <c r="D209" s="12" t="n"/>
      <c r="E209" s="12" t="n"/>
      <c r="F209" s="12" t="n"/>
      <c r="G209" s="12" t="n"/>
      <c r="H209" s="12" t="n"/>
      <c r="I209" s="19" t="n"/>
      <c r="J209" s="19" t="n"/>
      <c r="K209" s="19" t="n"/>
      <c r="L209" s="20" t="n"/>
      <c r="M209" s="20" t="n"/>
      <c r="N209" s="22">
        <f>IF($E209="","",ROUND(N($L209)-N($M209),2))</f>
        <v/>
      </c>
      <c r="O209" s="21" t="n"/>
      <c r="P209" s="20" t="n"/>
      <c r="Q209" s="12" t="n"/>
      <c r="R209" s="19" t="n"/>
      <c r="S209" s="20" t="n"/>
      <c r="T209" s="20" t="n"/>
      <c r="U209" s="20" t="n"/>
      <c r="V209" s="12" t="n"/>
      <c r="W209" s="12" t="n"/>
      <c r="X209" s="18">
        <f>IF($E209="","",IF(AND($B209&lt;&gt;"",ISNA(MATCH($B209,机构表,0))),"※机构不在【资料】里",IF(AND($D209&lt;&gt;"",ISNA(MATCH($D209,状态表,0))),"※状态不在【资料】里",IF(N($M209)&gt;N($L209),"※已还本金大于典当金额",IF(AND($I209&lt;&gt;"",$J209&lt;&gt;"",$J209&lt;$I209),"※到期日早于当票日期",IF(AND($H209&lt;&gt;"",COUNTIF($H$4:$H$403,$H209)&gt;1),"※当票号在本表里出现了不止一次",IF(AND($L209&lt;&gt;"",$E209=""),"※有金额没写客户","")))))))</f>
        <v/>
      </c>
    </row>
    <row r="210">
      <c r="A210" s="18">
        <f>IF($E210="","",COUNTA($E$4:$E210))</f>
        <v/>
      </c>
      <c r="B210" s="12" t="n"/>
      <c r="C210" s="12" t="n"/>
      <c r="D210" s="12" t="n"/>
      <c r="E210" s="12" t="n"/>
      <c r="F210" s="12" t="n"/>
      <c r="G210" s="12" t="n"/>
      <c r="H210" s="12" t="n"/>
      <c r="I210" s="19" t="n"/>
      <c r="J210" s="19" t="n"/>
      <c r="K210" s="19" t="n"/>
      <c r="L210" s="20" t="n"/>
      <c r="M210" s="20" t="n"/>
      <c r="N210" s="22">
        <f>IF($E210="","",ROUND(N($L210)-N($M210),2))</f>
        <v/>
      </c>
      <c r="O210" s="21" t="n"/>
      <c r="P210" s="20" t="n"/>
      <c r="Q210" s="12" t="n"/>
      <c r="R210" s="19" t="n"/>
      <c r="S210" s="20" t="n"/>
      <c r="T210" s="20" t="n"/>
      <c r="U210" s="20" t="n"/>
      <c r="V210" s="12" t="n"/>
      <c r="W210" s="12" t="n"/>
      <c r="X210" s="18">
        <f>IF($E210="","",IF(AND($B210&lt;&gt;"",ISNA(MATCH($B210,机构表,0))),"※机构不在【资料】里",IF(AND($D210&lt;&gt;"",ISNA(MATCH($D210,状态表,0))),"※状态不在【资料】里",IF(N($M210)&gt;N($L210),"※已还本金大于典当金额",IF(AND($I210&lt;&gt;"",$J210&lt;&gt;"",$J210&lt;$I210),"※到期日早于当票日期",IF(AND($H210&lt;&gt;"",COUNTIF($H$4:$H$403,$H210)&gt;1),"※当票号在本表里出现了不止一次",IF(AND($L210&lt;&gt;"",$E210=""),"※有金额没写客户","")))))))</f>
        <v/>
      </c>
    </row>
    <row r="211">
      <c r="A211" s="18">
        <f>IF($E211="","",COUNTA($E$4:$E211))</f>
        <v/>
      </c>
      <c r="B211" s="12" t="n"/>
      <c r="C211" s="12" t="n"/>
      <c r="D211" s="12" t="n"/>
      <c r="E211" s="12" t="n"/>
      <c r="F211" s="12" t="n"/>
      <c r="G211" s="12" t="n"/>
      <c r="H211" s="12" t="n"/>
      <c r="I211" s="19" t="n"/>
      <c r="J211" s="19" t="n"/>
      <c r="K211" s="19" t="n"/>
      <c r="L211" s="20" t="n"/>
      <c r="M211" s="20" t="n"/>
      <c r="N211" s="22">
        <f>IF($E211="","",ROUND(N($L211)-N($M211),2))</f>
        <v/>
      </c>
      <c r="O211" s="21" t="n"/>
      <c r="P211" s="20" t="n"/>
      <c r="Q211" s="12" t="n"/>
      <c r="R211" s="19" t="n"/>
      <c r="S211" s="20" t="n"/>
      <c r="T211" s="20" t="n"/>
      <c r="U211" s="20" t="n"/>
      <c r="V211" s="12" t="n"/>
      <c r="W211" s="12" t="n"/>
      <c r="X211" s="18">
        <f>IF($E211="","",IF(AND($B211&lt;&gt;"",ISNA(MATCH($B211,机构表,0))),"※机构不在【资料】里",IF(AND($D211&lt;&gt;"",ISNA(MATCH($D211,状态表,0))),"※状态不在【资料】里",IF(N($M211)&gt;N($L211),"※已还本金大于典当金额",IF(AND($I211&lt;&gt;"",$J211&lt;&gt;"",$J211&lt;$I211),"※到期日早于当票日期",IF(AND($H211&lt;&gt;"",COUNTIF($H$4:$H$403,$H211)&gt;1),"※当票号在本表里出现了不止一次",IF(AND($L211&lt;&gt;"",$E211=""),"※有金额没写客户","")))))))</f>
        <v/>
      </c>
    </row>
    <row r="212">
      <c r="A212" s="18">
        <f>IF($E212="","",COUNTA($E$4:$E212))</f>
        <v/>
      </c>
      <c r="B212" s="12" t="n"/>
      <c r="C212" s="12" t="n"/>
      <c r="D212" s="12" t="n"/>
      <c r="E212" s="12" t="n"/>
      <c r="F212" s="12" t="n"/>
      <c r="G212" s="12" t="n"/>
      <c r="H212" s="12" t="n"/>
      <c r="I212" s="19" t="n"/>
      <c r="J212" s="19" t="n"/>
      <c r="K212" s="19" t="n"/>
      <c r="L212" s="20" t="n"/>
      <c r="M212" s="20" t="n"/>
      <c r="N212" s="22">
        <f>IF($E212="","",ROUND(N($L212)-N($M212),2))</f>
        <v/>
      </c>
      <c r="O212" s="21" t="n"/>
      <c r="P212" s="20" t="n"/>
      <c r="Q212" s="12" t="n"/>
      <c r="R212" s="19" t="n"/>
      <c r="S212" s="20" t="n"/>
      <c r="T212" s="20" t="n"/>
      <c r="U212" s="20" t="n"/>
      <c r="V212" s="12" t="n"/>
      <c r="W212" s="12" t="n"/>
      <c r="X212" s="18">
        <f>IF($E212="","",IF(AND($B212&lt;&gt;"",ISNA(MATCH($B212,机构表,0))),"※机构不在【资料】里",IF(AND($D212&lt;&gt;"",ISNA(MATCH($D212,状态表,0))),"※状态不在【资料】里",IF(N($M212)&gt;N($L212),"※已还本金大于典当金额",IF(AND($I212&lt;&gt;"",$J212&lt;&gt;"",$J212&lt;$I212),"※到期日早于当票日期",IF(AND($H212&lt;&gt;"",COUNTIF($H$4:$H$403,$H212)&gt;1),"※当票号在本表里出现了不止一次",IF(AND($L212&lt;&gt;"",$E212=""),"※有金额没写客户","")))))))</f>
        <v/>
      </c>
    </row>
    <row r="213">
      <c r="A213" s="18">
        <f>IF($E213="","",COUNTA($E$4:$E213))</f>
        <v/>
      </c>
      <c r="B213" s="12" t="n"/>
      <c r="C213" s="12" t="n"/>
      <c r="D213" s="12" t="n"/>
      <c r="E213" s="12" t="n"/>
      <c r="F213" s="12" t="n"/>
      <c r="G213" s="12" t="n"/>
      <c r="H213" s="12" t="n"/>
      <c r="I213" s="19" t="n"/>
      <c r="J213" s="19" t="n"/>
      <c r="K213" s="19" t="n"/>
      <c r="L213" s="20" t="n"/>
      <c r="M213" s="20" t="n"/>
      <c r="N213" s="22">
        <f>IF($E213="","",ROUND(N($L213)-N($M213),2))</f>
        <v/>
      </c>
      <c r="O213" s="21" t="n"/>
      <c r="P213" s="20" t="n"/>
      <c r="Q213" s="12" t="n"/>
      <c r="R213" s="19" t="n"/>
      <c r="S213" s="20" t="n"/>
      <c r="T213" s="20" t="n"/>
      <c r="U213" s="20" t="n"/>
      <c r="V213" s="12" t="n"/>
      <c r="W213" s="12" t="n"/>
      <c r="X213" s="18">
        <f>IF($E213="","",IF(AND($B213&lt;&gt;"",ISNA(MATCH($B213,机构表,0))),"※机构不在【资料】里",IF(AND($D213&lt;&gt;"",ISNA(MATCH($D213,状态表,0))),"※状态不在【资料】里",IF(N($M213)&gt;N($L213),"※已还本金大于典当金额",IF(AND($I213&lt;&gt;"",$J213&lt;&gt;"",$J213&lt;$I213),"※到期日早于当票日期",IF(AND($H213&lt;&gt;"",COUNTIF($H$4:$H$403,$H213)&gt;1),"※当票号在本表里出现了不止一次",IF(AND($L213&lt;&gt;"",$E213=""),"※有金额没写客户","")))))))</f>
        <v/>
      </c>
    </row>
    <row r="214">
      <c r="A214" s="18">
        <f>IF($E214="","",COUNTA($E$4:$E214))</f>
        <v/>
      </c>
      <c r="B214" s="12" t="n"/>
      <c r="C214" s="12" t="n"/>
      <c r="D214" s="12" t="n"/>
      <c r="E214" s="12" t="n"/>
      <c r="F214" s="12" t="n"/>
      <c r="G214" s="12" t="n"/>
      <c r="H214" s="12" t="n"/>
      <c r="I214" s="19" t="n"/>
      <c r="J214" s="19" t="n"/>
      <c r="K214" s="19" t="n"/>
      <c r="L214" s="20" t="n"/>
      <c r="M214" s="20" t="n"/>
      <c r="N214" s="22">
        <f>IF($E214="","",ROUND(N($L214)-N($M214),2))</f>
        <v/>
      </c>
      <c r="O214" s="21" t="n"/>
      <c r="P214" s="20" t="n"/>
      <c r="Q214" s="12" t="n"/>
      <c r="R214" s="19" t="n"/>
      <c r="S214" s="20" t="n"/>
      <c r="T214" s="20" t="n"/>
      <c r="U214" s="20" t="n"/>
      <c r="V214" s="12" t="n"/>
      <c r="W214" s="12" t="n"/>
      <c r="X214" s="18">
        <f>IF($E214="","",IF(AND($B214&lt;&gt;"",ISNA(MATCH($B214,机构表,0))),"※机构不在【资料】里",IF(AND($D214&lt;&gt;"",ISNA(MATCH($D214,状态表,0))),"※状态不在【资料】里",IF(N($M214)&gt;N($L214),"※已还本金大于典当金额",IF(AND($I214&lt;&gt;"",$J214&lt;&gt;"",$J214&lt;$I214),"※到期日早于当票日期",IF(AND($H214&lt;&gt;"",COUNTIF($H$4:$H$403,$H214)&gt;1),"※当票号在本表里出现了不止一次",IF(AND($L214&lt;&gt;"",$E214=""),"※有金额没写客户","")))))))</f>
        <v/>
      </c>
    </row>
    <row r="215">
      <c r="A215" s="18">
        <f>IF($E215="","",COUNTA($E$4:$E215))</f>
        <v/>
      </c>
      <c r="B215" s="12" t="n"/>
      <c r="C215" s="12" t="n"/>
      <c r="D215" s="12" t="n"/>
      <c r="E215" s="12" t="n"/>
      <c r="F215" s="12" t="n"/>
      <c r="G215" s="12" t="n"/>
      <c r="H215" s="12" t="n"/>
      <c r="I215" s="19" t="n"/>
      <c r="J215" s="19" t="n"/>
      <c r="K215" s="19" t="n"/>
      <c r="L215" s="20" t="n"/>
      <c r="M215" s="20" t="n"/>
      <c r="N215" s="22">
        <f>IF($E215="","",ROUND(N($L215)-N($M215),2))</f>
        <v/>
      </c>
      <c r="O215" s="21" t="n"/>
      <c r="P215" s="20" t="n"/>
      <c r="Q215" s="12" t="n"/>
      <c r="R215" s="19" t="n"/>
      <c r="S215" s="20" t="n"/>
      <c r="T215" s="20" t="n"/>
      <c r="U215" s="20" t="n"/>
      <c r="V215" s="12" t="n"/>
      <c r="W215" s="12" t="n"/>
      <c r="X215" s="18">
        <f>IF($E215="","",IF(AND($B215&lt;&gt;"",ISNA(MATCH($B215,机构表,0))),"※机构不在【资料】里",IF(AND($D215&lt;&gt;"",ISNA(MATCH($D215,状态表,0))),"※状态不在【资料】里",IF(N($M215)&gt;N($L215),"※已还本金大于典当金额",IF(AND($I215&lt;&gt;"",$J215&lt;&gt;"",$J215&lt;$I215),"※到期日早于当票日期",IF(AND($H215&lt;&gt;"",COUNTIF($H$4:$H$403,$H215)&gt;1),"※当票号在本表里出现了不止一次",IF(AND($L215&lt;&gt;"",$E215=""),"※有金额没写客户","")))))))</f>
        <v/>
      </c>
    </row>
    <row r="216">
      <c r="A216" s="18">
        <f>IF($E216="","",COUNTA($E$4:$E216))</f>
        <v/>
      </c>
      <c r="B216" s="12" t="n"/>
      <c r="C216" s="12" t="n"/>
      <c r="D216" s="12" t="n"/>
      <c r="E216" s="12" t="n"/>
      <c r="F216" s="12" t="n"/>
      <c r="G216" s="12" t="n"/>
      <c r="H216" s="12" t="n"/>
      <c r="I216" s="19" t="n"/>
      <c r="J216" s="19" t="n"/>
      <c r="K216" s="19" t="n"/>
      <c r="L216" s="20" t="n"/>
      <c r="M216" s="20" t="n"/>
      <c r="N216" s="22">
        <f>IF($E216="","",ROUND(N($L216)-N($M216),2))</f>
        <v/>
      </c>
      <c r="O216" s="21" t="n"/>
      <c r="P216" s="20" t="n"/>
      <c r="Q216" s="12" t="n"/>
      <c r="R216" s="19" t="n"/>
      <c r="S216" s="20" t="n"/>
      <c r="T216" s="20" t="n"/>
      <c r="U216" s="20" t="n"/>
      <c r="V216" s="12" t="n"/>
      <c r="W216" s="12" t="n"/>
      <c r="X216" s="18">
        <f>IF($E216="","",IF(AND($B216&lt;&gt;"",ISNA(MATCH($B216,机构表,0))),"※机构不在【资料】里",IF(AND($D216&lt;&gt;"",ISNA(MATCH($D216,状态表,0))),"※状态不在【资料】里",IF(N($M216)&gt;N($L216),"※已还本金大于典当金额",IF(AND($I216&lt;&gt;"",$J216&lt;&gt;"",$J216&lt;$I216),"※到期日早于当票日期",IF(AND($H216&lt;&gt;"",COUNTIF($H$4:$H$403,$H216)&gt;1),"※当票号在本表里出现了不止一次",IF(AND($L216&lt;&gt;"",$E216=""),"※有金额没写客户","")))))))</f>
        <v/>
      </c>
    </row>
    <row r="217">
      <c r="A217" s="18">
        <f>IF($E217="","",COUNTA($E$4:$E217))</f>
        <v/>
      </c>
      <c r="B217" s="12" t="n"/>
      <c r="C217" s="12" t="n"/>
      <c r="D217" s="12" t="n"/>
      <c r="E217" s="12" t="n"/>
      <c r="F217" s="12" t="n"/>
      <c r="G217" s="12" t="n"/>
      <c r="H217" s="12" t="n"/>
      <c r="I217" s="19" t="n"/>
      <c r="J217" s="19" t="n"/>
      <c r="K217" s="19" t="n"/>
      <c r="L217" s="20" t="n"/>
      <c r="M217" s="20" t="n"/>
      <c r="N217" s="22">
        <f>IF($E217="","",ROUND(N($L217)-N($M217),2))</f>
        <v/>
      </c>
      <c r="O217" s="21" t="n"/>
      <c r="P217" s="20" t="n"/>
      <c r="Q217" s="12" t="n"/>
      <c r="R217" s="19" t="n"/>
      <c r="S217" s="20" t="n"/>
      <c r="T217" s="20" t="n"/>
      <c r="U217" s="20" t="n"/>
      <c r="V217" s="12" t="n"/>
      <c r="W217" s="12" t="n"/>
      <c r="X217" s="18">
        <f>IF($E217="","",IF(AND($B217&lt;&gt;"",ISNA(MATCH($B217,机构表,0))),"※机构不在【资料】里",IF(AND($D217&lt;&gt;"",ISNA(MATCH($D217,状态表,0))),"※状态不在【资料】里",IF(N($M217)&gt;N($L217),"※已还本金大于典当金额",IF(AND($I217&lt;&gt;"",$J217&lt;&gt;"",$J217&lt;$I217),"※到期日早于当票日期",IF(AND($H217&lt;&gt;"",COUNTIF($H$4:$H$403,$H217)&gt;1),"※当票号在本表里出现了不止一次",IF(AND($L217&lt;&gt;"",$E217=""),"※有金额没写客户","")))))))</f>
        <v/>
      </c>
    </row>
    <row r="218">
      <c r="A218" s="18">
        <f>IF($E218="","",COUNTA($E$4:$E218))</f>
        <v/>
      </c>
      <c r="B218" s="12" t="n"/>
      <c r="C218" s="12" t="n"/>
      <c r="D218" s="12" t="n"/>
      <c r="E218" s="12" t="n"/>
      <c r="F218" s="12" t="n"/>
      <c r="G218" s="12" t="n"/>
      <c r="H218" s="12" t="n"/>
      <c r="I218" s="19" t="n"/>
      <c r="J218" s="19" t="n"/>
      <c r="K218" s="19" t="n"/>
      <c r="L218" s="20" t="n"/>
      <c r="M218" s="20" t="n"/>
      <c r="N218" s="22">
        <f>IF($E218="","",ROUND(N($L218)-N($M218),2))</f>
        <v/>
      </c>
      <c r="O218" s="21" t="n"/>
      <c r="P218" s="20" t="n"/>
      <c r="Q218" s="12" t="n"/>
      <c r="R218" s="19" t="n"/>
      <c r="S218" s="20" t="n"/>
      <c r="T218" s="20" t="n"/>
      <c r="U218" s="20" t="n"/>
      <c r="V218" s="12" t="n"/>
      <c r="W218" s="12" t="n"/>
      <c r="X218" s="18">
        <f>IF($E218="","",IF(AND($B218&lt;&gt;"",ISNA(MATCH($B218,机构表,0))),"※机构不在【资料】里",IF(AND($D218&lt;&gt;"",ISNA(MATCH($D218,状态表,0))),"※状态不在【资料】里",IF(N($M218)&gt;N($L218),"※已还本金大于典当金额",IF(AND($I218&lt;&gt;"",$J218&lt;&gt;"",$J218&lt;$I218),"※到期日早于当票日期",IF(AND($H218&lt;&gt;"",COUNTIF($H$4:$H$403,$H218)&gt;1),"※当票号在本表里出现了不止一次",IF(AND($L218&lt;&gt;"",$E218=""),"※有金额没写客户","")))))))</f>
        <v/>
      </c>
    </row>
    <row r="219">
      <c r="A219" s="18">
        <f>IF($E219="","",COUNTA($E$4:$E219))</f>
        <v/>
      </c>
      <c r="B219" s="12" t="n"/>
      <c r="C219" s="12" t="n"/>
      <c r="D219" s="12" t="n"/>
      <c r="E219" s="12" t="n"/>
      <c r="F219" s="12" t="n"/>
      <c r="G219" s="12" t="n"/>
      <c r="H219" s="12" t="n"/>
      <c r="I219" s="19" t="n"/>
      <c r="J219" s="19" t="n"/>
      <c r="K219" s="19" t="n"/>
      <c r="L219" s="20" t="n"/>
      <c r="M219" s="20" t="n"/>
      <c r="N219" s="22">
        <f>IF($E219="","",ROUND(N($L219)-N($M219),2))</f>
        <v/>
      </c>
      <c r="O219" s="21" t="n"/>
      <c r="P219" s="20" t="n"/>
      <c r="Q219" s="12" t="n"/>
      <c r="R219" s="19" t="n"/>
      <c r="S219" s="20" t="n"/>
      <c r="T219" s="20" t="n"/>
      <c r="U219" s="20" t="n"/>
      <c r="V219" s="12" t="n"/>
      <c r="W219" s="12" t="n"/>
      <c r="X219" s="18">
        <f>IF($E219="","",IF(AND($B219&lt;&gt;"",ISNA(MATCH($B219,机构表,0))),"※机构不在【资料】里",IF(AND($D219&lt;&gt;"",ISNA(MATCH($D219,状态表,0))),"※状态不在【资料】里",IF(N($M219)&gt;N($L219),"※已还本金大于典当金额",IF(AND($I219&lt;&gt;"",$J219&lt;&gt;"",$J219&lt;$I219),"※到期日早于当票日期",IF(AND($H219&lt;&gt;"",COUNTIF($H$4:$H$403,$H219)&gt;1),"※当票号在本表里出现了不止一次",IF(AND($L219&lt;&gt;"",$E219=""),"※有金额没写客户","")))))))</f>
        <v/>
      </c>
    </row>
    <row r="220">
      <c r="A220" s="18">
        <f>IF($E220="","",COUNTA($E$4:$E220))</f>
        <v/>
      </c>
      <c r="B220" s="12" t="n"/>
      <c r="C220" s="12" t="n"/>
      <c r="D220" s="12" t="n"/>
      <c r="E220" s="12" t="n"/>
      <c r="F220" s="12" t="n"/>
      <c r="G220" s="12" t="n"/>
      <c r="H220" s="12" t="n"/>
      <c r="I220" s="19" t="n"/>
      <c r="J220" s="19" t="n"/>
      <c r="K220" s="19" t="n"/>
      <c r="L220" s="20" t="n"/>
      <c r="M220" s="20" t="n"/>
      <c r="N220" s="22">
        <f>IF($E220="","",ROUND(N($L220)-N($M220),2))</f>
        <v/>
      </c>
      <c r="O220" s="21" t="n"/>
      <c r="P220" s="20" t="n"/>
      <c r="Q220" s="12" t="n"/>
      <c r="R220" s="19" t="n"/>
      <c r="S220" s="20" t="n"/>
      <c r="T220" s="20" t="n"/>
      <c r="U220" s="20" t="n"/>
      <c r="V220" s="12" t="n"/>
      <c r="W220" s="12" t="n"/>
      <c r="X220" s="18">
        <f>IF($E220="","",IF(AND($B220&lt;&gt;"",ISNA(MATCH($B220,机构表,0))),"※机构不在【资料】里",IF(AND($D220&lt;&gt;"",ISNA(MATCH($D220,状态表,0))),"※状态不在【资料】里",IF(N($M220)&gt;N($L220),"※已还本金大于典当金额",IF(AND($I220&lt;&gt;"",$J220&lt;&gt;"",$J220&lt;$I220),"※到期日早于当票日期",IF(AND($H220&lt;&gt;"",COUNTIF($H$4:$H$403,$H220)&gt;1),"※当票号在本表里出现了不止一次",IF(AND($L220&lt;&gt;"",$E220=""),"※有金额没写客户","")))))))</f>
        <v/>
      </c>
    </row>
    <row r="221">
      <c r="A221" s="18">
        <f>IF($E221="","",COUNTA($E$4:$E221))</f>
        <v/>
      </c>
      <c r="B221" s="12" t="n"/>
      <c r="C221" s="12" t="n"/>
      <c r="D221" s="12" t="n"/>
      <c r="E221" s="12" t="n"/>
      <c r="F221" s="12" t="n"/>
      <c r="G221" s="12" t="n"/>
      <c r="H221" s="12" t="n"/>
      <c r="I221" s="19" t="n"/>
      <c r="J221" s="19" t="n"/>
      <c r="K221" s="19" t="n"/>
      <c r="L221" s="20" t="n"/>
      <c r="M221" s="20" t="n"/>
      <c r="N221" s="22">
        <f>IF($E221="","",ROUND(N($L221)-N($M221),2))</f>
        <v/>
      </c>
      <c r="O221" s="21" t="n"/>
      <c r="P221" s="20" t="n"/>
      <c r="Q221" s="12" t="n"/>
      <c r="R221" s="19" t="n"/>
      <c r="S221" s="20" t="n"/>
      <c r="T221" s="20" t="n"/>
      <c r="U221" s="20" t="n"/>
      <c r="V221" s="12" t="n"/>
      <c r="W221" s="12" t="n"/>
      <c r="X221" s="18">
        <f>IF($E221="","",IF(AND($B221&lt;&gt;"",ISNA(MATCH($B221,机构表,0))),"※机构不在【资料】里",IF(AND($D221&lt;&gt;"",ISNA(MATCH($D221,状态表,0))),"※状态不在【资料】里",IF(N($M221)&gt;N($L221),"※已还本金大于典当金额",IF(AND($I221&lt;&gt;"",$J221&lt;&gt;"",$J221&lt;$I221),"※到期日早于当票日期",IF(AND($H221&lt;&gt;"",COUNTIF($H$4:$H$403,$H221)&gt;1),"※当票号在本表里出现了不止一次",IF(AND($L221&lt;&gt;"",$E221=""),"※有金额没写客户","")))))))</f>
        <v/>
      </c>
    </row>
    <row r="222">
      <c r="A222" s="18">
        <f>IF($E222="","",COUNTA($E$4:$E222))</f>
        <v/>
      </c>
      <c r="B222" s="12" t="n"/>
      <c r="C222" s="12" t="n"/>
      <c r="D222" s="12" t="n"/>
      <c r="E222" s="12" t="n"/>
      <c r="F222" s="12" t="n"/>
      <c r="G222" s="12" t="n"/>
      <c r="H222" s="12" t="n"/>
      <c r="I222" s="19" t="n"/>
      <c r="J222" s="19" t="n"/>
      <c r="K222" s="19" t="n"/>
      <c r="L222" s="20" t="n"/>
      <c r="M222" s="20" t="n"/>
      <c r="N222" s="22">
        <f>IF($E222="","",ROUND(N($L222)-N($M222),2))</f>
        <v/>
      </c>
      <c r="O222" s="21" t="n"/>
      <c r="P222" s="20" t="n"/>
      <c r="Q222" s="12" t="n"/>
      <c r="R222" s="19" t="n"/>
      <c r="S222" s="20" t="n"/>
      <c r="T222" s="20" t="n"/>
      <c r="U222" s="20" t="n"/>
      <c r="V222" s="12" t="n"/>
      <c r="W222" s="12" t="n"/>
      <c r="X222" s="18">
        <f>IF($E222="","",IF(AND($B222&lt;&gt;"",ISNA(MATCH($B222,机构表,0))),"※机构不在【资料】里",IF(AND($D222&lt;&gt;"",ISNA(MATCH($D222,状态表,0))),"※状态不在【资料】里",IF(N($M222)&gt;N($L222),"※已还本金大于典当金额",IF(AND($I222&lt;&gt;"",$J222&lt;&gt;"",$J222&lt;$I222),"※到期日早于当票日期",IF(AND($H222&lt;&gt;"",COUNTIF($H$4:$H$403,$H222)&gt;1),"※当票号在本表里出现了不止一次",IF(AND($L222&lt;&gt;"",$E222=""),"※有金额没写客户","")))))))</f>
        <v/>
      </c>
    </row>
    <row r="223">
      <c r="A223" s="18">
        <f>IF($E223="","",COUNTA($E$4:$E223))</f>
        <v/>
      </c>
      <c r="B223" s="12" t="n"/>
      <c r="C223" s="12" t="n"/>
      <c r="D223" s="12" t="n"/>
      <c r="E223" s="12" t="n"/>
      <c r="F223" s="12" t="n"/>
      <c r="G223" s="12" t="n"/>
      <c r="H223" s="12" t="n"/>
      <c r="I223" s="19" t="n"/>
      <c r="J223" s="19" t="n"/>
      <c r="K223" s="19" t="n"/>
      <c r="L223" s="20" t="n"/>
      <c r="M223" s="20" t="n"/>
      <c r="N223" s="22">
        <f>IF($E223="","",ROUND(N($L223)-N($M223),2))</f>
        <v/>
      </c>
      <c r="O223" s="21" t="n"/>
      <c r="P223" s="20" t="n"/>
      <c r="Q223" s="12" t="n"/>
      <c r="R223" s="19" t="n"/>
      <c r="S223" s="20" t="n"/>
      <c r="T223" s="20" t="n"/>
      <c r="U223" s="20" t="n"/>
      <c r="V223" s="12" t="n"/>
      <c r="W223" s="12" t="n"/>
      <c r="X223" s="18">
        <f>IF($E223="","",IF(AND($B223&lt;&gt;"",ISNA(MATCH($B223,机构表,0))),"※机构不在【资料】里",IF(AND($D223&lt;&gt;"",ISNA(MATCH($D223,状态表,0))),"※状态不在【资料】里",IF(N($M223)&gt;N($L223),"※已还本金大于典当金额",IF(AND($I223&lt;&gt;"",$J223&lt;&gt;"",$J223&lt;$I223),"※到期日早于当票日期",IF(AND($H223&lt;&gt;"",COUNTIF($H$4:$H$403,$H223)&gt;1),"※当票号在本表里出现了不止一次",IF(AND($L223&lt;&gt;"",$E223=""),"※有金额没写客户","")))))))</f>
        <v/>
      </c>
    </row>
    <row r="224">
      <c r="A224" s="18">
        <f>IF($E224="","",COUNTA($E$4:$E224))</f>
        <v/>
      </c>
      <c r="B224" s="12" t="n"/>
      <c r="C224" s="12" t="n"/>
      <c r="D224" s="12" t="n"/>
      <c r="E224" s="12" t="n"/>
      <c r="F224" s="12" t="n"/>
      <c r="G224" s="12" t="n"/>
      <c r="H224" s="12" t="n"/>
      <c r="I224" s="19" t="n"/>
      <c r="J224" s="19" t="n"/>
      <c r="K224" s="19" t="n"/>
      <c r="L224" s="20" t="n"/>
      <c r="M224" s="20" t="n"/>
      <c r="N224" s="22">
        <f>IF($E224="","",ROUND(N($L224)-N($M224),2))</f>
        <v/>
      </c>
      <c r="O224" s="21" t="n"/>
      <c r="P224" s="20" t="n"/>
      <c r="Q224" s="12" t="n"/>
      <c r="R224" s="19" t="n"/>
      <c r="S224" s="20" t="n"/>
      <c r="T224" s="20" t="n"/>
      <c r="U224" s="20" t="n"/>
      <c r="V224" s="12" t="n"/>
      <c r="W224" s="12" t="n"/>
      <c r="X224" s="18">
        <f>IF($E224="","",IF(AND($B224&lt;&gt;"",ISNA(MATCH($B224,机构表,0))),"※机构不在【资料】里",IF(AND($D224&lt;&gt;"",ISNA(MATCH($D224,状态表,0))),"※状态不在【资料】里",IF(N($M224)&gt;N($L224),"※已还本金大于典当金额",IF(AND($I224&lt;&gt;"",$J224&lt;&gt;"",$J224&lt;$I224),"※到期日早于当票日期",IF(AND($H224&lt;&gt;"",COUNTIF($H$4:$H$403,$H224)&gt;1),"※当票号在本表里出现了不止一次",IF(AND($L224&lt;&gt;"",$E224=""),"※有金额没写客户","")))))))</f>
        <v/>
      </c>
    </row>
    <row r="225">
      <c r="A225" s="18">
        <f>IF($E225="","",COUNTA($E$4:$E225))</f>
        <v/>
      </c>
      <c r="B225" s="12" t="n"/>
      <c r="C225" s="12" t="n"/>
      <c r="D225" s="12" t="n"/>
      <c r="E225" s="12" t="n"/>
      <c r="F225" s="12" t="n"/>
      <c r="G225" s="12" t="n"/>
      <c r="H225" s="12" t="n"/>
      <c r="I225" s="19" t="n"/>
      <c r="J225" s="19" t="n"/>
      <c r="K225" s="19" t="n"/>
      <c r="L225" s="20" t="n"/>
      <c r="M225" s="20" t="n"/>
      <c r="N225" s="22">
        <f>IF($E225="","",ROUND(N($L225)-N($M225),2))</f>
        <v/>
      </c>
      <c r="O225" s="21" t="n"/>
      <c r="P225" s="20" t="n"/>
      <c r="Q225" s="12" t="n"/>
      <c r="R225" s="19" t="n"/>
      <c r="S225" s="20" t="n"/>
      <c r="T225" s="20" t="n"/>
      <c r="U225" s="20" t="n"/>
      <c r="V225" s="12" t="n"/>
      <c r="W225" s="12" t="n"/>
      <c r="X225" s="18">
        <f>IF($E225="","",IF(AND($B225&lt;&gt;"",ISNA(MATCH($B225,机构表,0))),"※机构不在【资料】里",IF(AND($D225&lt;&gt;"",ISNA(MATCH($D225,状态表,0))),"※状态不在【资料】里",IF(N($M225)&gt;N($L225),"※已还本金大于典当金额",IF(AND($I225&lt;&gt;"",$J225&lt;&gt;"",$J225&lt;$I225),"※到期日早于当票日期",IF(AND($H225&lt;&gt;"",COUNTIF($H$4:$H$403,$H225)&gt;1),"※当票号在本表里出现了不止一次",IF(AND($L225&lt;&gt;"",$E225=""),"※有金额没写客户","")))))))</f>
        <v/>
      </c>
    </row>
    <row r="226">
      <c r="A226" s="18">
        <f>IF($E226="","",COUNTA($E$4:$E226))</f>
        <v/>
      </c>
      <c r="B226" s="12" t="n"/>
      <c r="C226" s="12" t="n"/>
      <c r="D226" s="12" t="n"/>
      <c r="E226" s="12" t="n"/>
      <c r="F226" s="12" t="n"/>
      <c r="G226" s="12" t="n"/>
      <c r="H226" s="12" t="n"/>
      <c r="I226" s="19" t="n"/>
      <c r="J226" s="19" t="n"/>
      <c r="K226" s="19" t="n"/>
      <c r="L226" s="20" t="n"/>
      <c r="M226" s="20" t="n"/>
      <c r="N226" s="22">
        <f>IF($E226="","",ROUND(N($L226)-N($M226),2))</f>
        <v/>
      </c>
      <c r="O226" s="21" t="n"/>
      <c r="P226" s="20" t="n"/>
      <c r="Q226" s="12" t="n"/>
      <c r="R226" s="19" t="n"/>
      <c r="S226" s="20" t="n"/>
      <c r="T226" s="20" t="n"/>
      <c r="U226" s="20" t="n"/>
      <c r="V226" s="12" t="n"/>
      <c r="W226" s="12" t="n"/>
      <c r="X226" s="18">
        <f>IF($E226="","",IF(AND($B226&lt;&gt;"",ISNA(MATCH($B226,机构表,0))),"※机构不在【资料】里",IF(AND($D226&lt;&gt;"",ISNA(MATCH($D226,状态表,0))),"※状态不在【资料】里",IF(N($M226)&gt;N($L226),"※已还本金大于典当金额",IF(AND($I226&lt;&gt;"",$J226&lt;&gt;"",$J226&lt;$I226),"※到期日早于当票日期",IF(AND($H226&lt;&gt;"",COUNTIF($H$4:$H$403,$H226)&gt;1),"※当票号在本表里出现了不止一次",IF(AND($L226&lt;&gt;"",$E226=""),"※有金额没写客户","")))))))</f>
        <v/>
      </c>
    </row>
    <row r="227">
      <c r="A227" s="18">
        <f>IF($E227="","",COUNTA($E$4:$E227))</f>
        <v/>
      </c>
      <c r="B227" s="12" t="n"/>
      <c r="C227" s="12" t="n"/>
      <c r="D227" s="12" t="n"/>
      <c r="E227" s="12" t="n"/>
      <c r="F227" s="12" t="n"/>
      <c r="G227" s="12" t="n"/>
      <c r="H227" s="12" t="n"/>
      <c r="I227" s="19" t="n"/>
      <c r="J227" s="19" t="n"/>
      <c r="K227" s="19" t="n"/>
      <c r="L227" s="20" t="n"/>
      <c r="M227" s="20" t="n"/>
      <c r="N227" s="22">
        <f>IF($E227="","",ROUND(N($L227)-N($M227),2))</f>
        <v/>
      </c>
      <c r="O227" s="21" t="n"/>
      <c r="P227" s="20" t="n"/>
      <c r="Q227" s="12" t="n"/>
      <c r="R227" s="19" t="n"/>
      <c r="S227" s="20" t="n"/>
      <c r="T227" s="20" t="n"/>
      <c r="U227" s="20" t="n"/>
      <c r="V227" s="12" t="n"/>
      <c r="W227" s="12" t="n"/>
      <c r="X227" s="18">
        <f>IF($E227="","",IF(AND($B227&lt;&gt;"",ISNA(MATCH($B227,机构表,0))),"※机构不在【资料】里",IF(AND($D227&lt;&gt;"",ISNA(MATCH($D227,状态表,0))),"※状态不在【资料】里",IF(N($M227)&gt;N($L227),"※已还本金大于典当金额",IF(AND($I227&lt;&gt;"",$J227&lt;&gt;"",$J227&lt;$I227),"※到期日早于当票日期",IF(AND($H227&lt;&gt;"",COUNTIF($H$4:$H$403,$H227)&gt;1),"※当票号在本表里出现了不止一次",IF(AND($L227&lt;&gt;"",$E227=""),"※有金额没写客户","")))))))</f>
        <v/>
      </c>
    </row>
    <row r="228">
      <c r="A228" s="18">
        <f>IF($E228="","",COUNTA($E$4:$E228))</f>
        <v/>
      </c>
      <c r="B228" s="12" t="n"/>
      <c r="C228" s="12" t="n"/>
      <c r="D228" s="12" t="n"/>
      <c r="E228" s="12" t="n"/>
      <c r="F228" s="12" t="n"/>
      <c r="G228" s="12" t="n"/>
      <c r="H228" s="12" t="n"/>
      <c r="I228" s="19" t="n"/>
      <c r="J228" s="19" t="n"/>
      <c r="K228" s="19" t="n"/>
      <c r="L228" s="20" t="n"/>
      <c r="M228" s="20" t="n"/>
      <c r="N228" s="22">
        <f>IF($E228="","",ROUND(N($L228)-N($M228),2))</f>
        <v/>
      </c>
      <c r="O228" s="21" t="n"/>
      <c r="P228" s="20" t="n"/>
      <c r="Q228" s="12" t="n"/>
      <c r="R228" s="19" t="n"/>
      <c r="S228" s="20" t="n"/>
      <c r="T228" s="20" t="n"/>
      <c r="U228" s="20" t="n"/>
      <c r="V228" s="12" t="n"/>
      <c r="W228" s="12" t="n"/>
      <c r="X228" s="18">
        <f>IF($E228="","",IF(AND($B228&lt;&gt;"",ISNA(MATCH($B228,机构表,0))),"※机构不在【资料】里",IF(AND($D228&lt;&gt;"",ISNA(MATCH($D228,状态表,0))),"※状态不在【资料】里",IF(N($M228)&gt;N($L228),"※已还本金大于典当金额",IF(AND($I228&lt;&gt;"",$J228&lt;&gt;"",$J228&lt;$I228),"※到期日早于当票日期",IF(AND($H228&lt;&gt;"",COUNTIF($H$4:$H$403,$H228)&gt;1),"※当票号在本表里出现了不止一次",IF(AND($L228&lt;&gt;"",$E228=""),"※有金额没写客户","")))))))</f>
        <v/>
      </c>
    </row>
    <row r="229">
      <c r="A229" s="18">
        <f>IF($E229="","",COUNTA($E$4:$E229))</f>
        <v/>
      </c>
      <c r="B229" s="12" t="n"/>
      <c r="C229" s="12" t="n"/>
      <c r="D229" s="12" t="n"/>
      <c r="E229" s="12" t="n"/>
      <c r="F229" s="12" t="n"/>
      <c r="G229" s="12" t="n"/>
      <c r="H229" s="12" t="n"/>
      <c r="I229" s="19" t="n"/>
      <c r="J229" s="19" t="n"/>
      <c r="K229" s="19" t="n"/>
      <c r="L229" s="20" t="n"/>
      <c r="M229" s="20" t="n"/>
      <c r="N229" s="22">
        <f>IF($E229="","",ROUND(N($L229)-N($M229),2))</f>
        <v/>
      </c>
      <c r="O229" s="21" t="n"/>
      <c r="P229" s="20" t="n"/>
      <c r="Q229" s="12" t="n"/>
      <c r="R229" s="19" t="n"/>
      <c r="S229" s="20" t="n"/>
      <c r="T229" s="20" t="n"/>
      <c r="U229" s="20" t="n"/>
      <c r="V229" s="12" t="n"/>
      <c r="W229" s="12" t="n"/>
      <c r="X229" s="18">
        <f>IF($E229="","",IF(AND($B229&lt;&gt;"",ISNA(MATCH($B229,机构表,0))),"※机构不在【资料】里",IF(AND($D229&lt;&gt;"",ISNA(MATCH($D229,状态表,0))),"※状态不在【资料】里",IF(N($M229)&gt;N($L229),"※已还本金大于典当金额",IF(AND($I229&lt;&gt;"",$J229&lt;&gt;"",$J229&lt;$I229),"※到期日早于当票日期",IF(AND($H229&lt;&gt;"",COUNTIF($H$4:$H$403,$H229)&gt;1),"※当票号在本表里出现了不止一次",IF(AND($L229&lt;&gt;"",$E229=""),"※有金额没写客户","")))))))</f>
        <v/>
      </c>
    </row>
    <row r="230">
      <c r="A230" s="18">
        <f>IF($E230="","",COUNTA($E$4:$E230))</f>
        <v/>
      </c>
      <c r="B230" s="12" t="n"/>
      <c r="C230" s="12" t="n"/>
      <c r="D230" s="12" t="n"/>
      <c r="E230" s="12" t="n"/>
      <c r="F230" s="12" t="n"/>
      <c r="G230" s="12" t="n"/>
      <c r="H230" s="12" t="n"/>
      <c r="I230" s="19" t="n"/>
      <c r="J230" s="19" t="n"/>
      <c r="K230" s="19" t="n"/>
      <c r="L230" s="20" t="n"/>
      <c r="M230" s="20" t="n"/>
      <c r="N230" s="22">
        <f>IF($E230="","",ROUND(N($L230)-N($M230),2))</f>
        <v/>
      </c>
      <c r="O230" s="21" t="n"/>
      <c r="P230" s="20" t="n"/>
      <c r="Q230" s="12" t="n"/>
      <c r="R230" s="19" t="n"/>
      <c r="S230" s="20" t="n"/>
      <c r="T230" s="20" t="n"/>
      <c r="U230" s="20" t="n"/>
      <c r="V230" s="12" t="n"/>
      <c r="W230" s="12" t="n"/>
      <c r="X230" s="18">
        <f>IF($E230="","",IF(AND($B230&lt;&gt;"",ISNA(MATCH($B230,机构表,0))),"※机构不在【资料】里",IF(AND($D230&lt;&gt;"",ISNA(MATCH($D230,状态表,0))),"※状态不在【资料】里",IF(N($M230)&gt;N($L230),"※已还本金大于典当金额",IF(AND($I230&lt;&gt;"",$J230&lt;&gt;"",$J230&lt;$I230),"※到期日早于当票日期",IF(AND($H230&lt;&gt;"",COUNTIF($H$4:$H$403,$H230)&gt;1),"※当票号在本表里出现了不止一次",IF(AND($L230&lt;&gt;"",$E230=""),"※有金额没写客户","")))))))</f>
        <v/>
      </c>
    </row>
    <row r="231">
      <c r="A231" s="18">
        <f>IF($E231="","",COUNTA($E$4:$E231))</f>
        <v/>
      </c>
      <c r="B231" s="12" t="n"/>
      <c r="C231" s="12" t="n"/>
      <c r="D231" s="12" t="n"/>
      <c r="E231" s="12" t="n"/>
      <c r="F231" s="12" t="n"/>
      <c r="G231" s="12" t="n"/>
      <c r="H231" s="12" t="n"/>
      <c r="I231" s="19" t="n"/>
      <c r="J231" s="19" t="n"/>
      <c r="K231" s="19" t="n"/>
      <c r="L231" s="20" t="n"/>
      <c r="M231" s="20" t="n"/>
      <c r="N231" s="22">
        <f>IF($E231="","",ROUND(N($L231)-N($M231),2))</f>
        <v/>
      </c>
      <c r="O231" s="21" t="n"/>
      <c r="P231" s="20" t="n"/>
      <c r="Q231" s="12" t="n"/>
      <c r="R231" s="19" t="n"/>
      <c r="S231" s="20" t="n"/>
      <c r="T231" s="20" t="n"/>
      <c r="U231" s="20" t="n"/>
      <c r="V231" s="12" t="n"/>
      <c r="W231" s="12" t="n"/>
      <c r="X231" s="18">
        <f>IF($E231="","",IF(AND($B231&lt;&gt;"",ISNA(MATCH($B231,机构表,0))),"※机构不在【资料】里",IF(AND($D231&lt;&gt;"",ISNA(MATCH($D231,状态表,0))),"※状态不在【资料】里",IF(N($M231)&gt;N($L231),"※已还本金大于典当金额",IF(AND($I231&lt;&gt;"",$J231&lt;&gt;"",$J231&lt;$I231),"※到期日早于当票日期",IF(AND($H231&lt;&gt;"",COUNTIF($H$4:$H$403,$H231)&gt;1),"※当票号在本表里出现了不止一次",IF(AND($L231&lt;&gt;"",$E231=""),"※有金额没写客户","")))))))</f>
        <v/>
      </c>
    </row>
    <row r="232">
      <c r="A232" s="18">
        <f>IF($E232="","",COUNTA($E$4:$E232))</f>
        <v/>
      </c>
      <c r="B232" s="12" t="n"/>
      <c r="C232" s="12" t="n"/>
      <c r="D232" s="12" t="n"/>
      <c r="E232" s="12" t="n"/>
      <c r="F232" s="12" t="n"/>
      <c r="G232" s="12" t="n"/>
      <c r="H232" s="12" t="n"/>
      <c r="I232" s="19" t="n"/>
      <c r="J232" s="19" t="n"/>
      <c r="K232" s="19" t="n"/>
      <c r="L232" s="20" t="n"/>
      <c r="M232" s="20" t="n"/>
      <c r="N232" s="22">
        <f>IF($E232="","",ROUND(N($L232)-N($M232),2))</f>
        <v/>
      </c>
      <c r="O232" s="21" t="n"/>
      <c r="P232" s="20" t="n"/>
      <c r="Q232" s="12" t="n"/>
      <c r="R232" s="19" t="n"/>
      <c r="S232" s="20" t="n"/>
      <c r="T232" s="20" t="n"/>
      <c r="U232" s="20" t="n"/>
      <c r="V232" s="12" t="n"/>
      <c r="W232" s="12" t="n"/>
      <c r="X232" s="18">
        <f>IF($E232="","",IF(AND($B232&lt;&gt;"",ISNA(MATCH($B232,机构表,0))),"※机构不在【资料】里",IF(AND($D232&lt;&gt;"",ISNA(MATCH($D232,状态表,0))),"※状态不在【资料】里",IF(N($M232)&gt;N($L232),"※已还本金大于典当金额",IF(AND($I232&lt;&gt;"",$J232&lt;&gt;"",$J232&lt;$I232),"※到期日早于当票日期",IF(AND($H232&lt;&gt;"",COUNTIF($H$4:$H$403,$H232)&gt;1),"※当票号在本表里出现了不止一次",IF(AND($L232&lt;&gt;"",$E232=""),"※有金额没写客户","")))))))</f>
        <v/>
      </c>
    </row>
    <row r="233">
      <c r="A233" s="18">
        <f>IF($E233="","",COUNTA($E$4:$E233))</f>
        <v/>
      </c>
      <c r="B233" s="12" t="n"/>
      <c r="C233" s="12" t="n"/>
      <c r="D233" s="12" t="n"/>
      <c r="E233" s="12" t="n"/>
      <c r="F233" s="12" t="n"/>
      <c r="G233" s="12" t="n"/>
      <c r="H233" s="12" t="n"/>
      <c r="I233" s="19" t="n"/>
      <c r="J233" s="19" t="n"/>
      <c r="K233" s="19" t="n"/>
      <c r="L233" s="20" t="n"/>
      <c r="M233" s="20" t="n"/>
      <c r="N233" s="22">
        <f>IF($E233="","",ROUND(N($L233)-N($M233),2))</f>
        <v/>
      </c>
      <c r="O233" s="21" t="n"/>
      <c r="P233" s="20" t="n"/>
      <c r="Q233" s="12" t="n"/>
      <c r="R233" s="19" t="n"/>
      <c r="S233" s="20" t="n"/>
      <c r="T233" s="20" t="n"/>
      <c r="U233" s="20" t="n"/>
      <c r="V233" s="12" t="n"/>
      <c r="W233" s="12" t="n"/>
      <c r="X233" s="18">
        <f>IF($E233="","",IF(AND($B233&lt;&gt;"",ISNA(MATCH($B233,机构表,0))),"※机构不在【资料】里",IF(AND($D233&lt;&gt;"",ISNA(MATCH($D233,状态表,0))),"※状态不在【资料】里",IF(N($M233)&gt;N($L233),"※已还本金大于典当金额",IF(AND($I233&lt;&gt;"",$J233&lt;&gt;"",$J233&lt;$I233),"※到期日早于当票日期",IF(AND($H233&lt;&gt;"",COUNTIF($H$4:$H$403,$H233)&gt;1),"※当票号在本表里出现了不止一次",IF(AND($L233&lt;&gt;"",$E233=""),"※有金额没写客户","")))))))</f>
        <v/>
      </c>
    </row>
    <row r="234">
      <c r="A234" s="18">
        <f>IF($E234="","",COUNTA($E$4:$E234))</f>
        <v/>
      </c>
      <c r="B234" s="12" t="n"/>
      <c r="C234" s="12" t="n"/>
      <c r="D234" s="12" t="n"/>
      <c r="E234" s="12" t="n"/>
      <c r="F234" s="12" t="n"/>
      <c r="G234" s="12" t="n"/>
      <c r="H234" s="12" t="n"/>
      <c r="I234" s="19" t="n"/>
      <c r="J234" s="19" t="n"/>
      <c r="K234" s="19" t="n"/>
      <c r="L234" s="20" t="n"/>
      <c r="M234" s="20" t="n"/>
      <c r="N234" s="22">
        <f>IF($E234="","",ROUND(N($L234)-N($M234),2))</f>
        <v/>
      </c>
      <c r="O234" s="21" t="n"/>
      <c r="P234" s="20" t="n"/>
      <c r="Q234" s="12" t="n"/>
      <c r="R234" s="19" t="n"/>
      <c r="S234" s="20" t="n"/>
      <c r="T234" s="20" t="n"/>
      <c r="U234" s="20" t="n"/>
      <c r="V234" s="12" t="n"/>
      <c r="W234" s="12" t="n"/>
      <c r="X234" s="18">
        <f>IF($E234="","",IF(AND($B234&lt;&gt;"",ISNA(MATCH($B234,机构表,0))),"※机构不在【资料】里",IF(AND($D234&lt;&gt;"",ISNA(MATCH($D234,状态表,0))),"※状态不在【资料】里",IF(N($M234)&gt;N($L234),"※已还本金大于典当金额",IF(AND($I234&lt;&gt;"",$J234&lt;&gt;"",$J234&lt;$I234),"※到期日早于当票日期",IF(AND($H234&lt;&gt;"",COUNTIF($H$4:$H$403,$H234)&gt;1),"※当票号在本表里出现了不止一次",IF(AND($L234&lt;&gt;"",$E234=""),"※有金额没写客户","")))))))</f>
        <v/>
      </c>
    </row>
    <row r="235">
      <c r="A235" s="18">
        <f>IF($E235="","",COUNTA($E$4:$E235))</f>
        <v/>
      </c>
      <c r="B235" s="12" t="n"/>
      <c r="C235" s="12" t="n"/>
      <c r="D235" s="12" t="n"/>
      <c r="E235" s="12" t="n"/>
      <c r="F235" s="12" t="n"/>
      <c r="G235" s="12" t="n"/>
      <c r="H235" s="12" t="n"/>
      <c r="I235" s="19" t="n"/>
      <c r="J235" s="19" t="n"/>
      <c r="K235" s="19" t="n"/>
      <c r="L235" s="20" t="n"/>
      <c r="M235" s="20" t="n"/>
      <c r="N235" s="22">
        <f>IF($E235="","",ROUND(N($L235)-N($M235),2))</f>
        <v/>
      </c>
      <c r="O235" s="21" t="n"/>
      <c r="P235" s="20" t="n"/>
      <c r="Q235" s="12" t="n"/>
      <c r="R235" s="19" t="n"/>
      <c r="S235" s="20" t="n"/>
      <c r="T235" s="20" t="n"/>
      <c r="U235" s="20" t="n"/>
      <c r="V235" s="12" t="n"/>
      <c r="W235" s="12" t="n"/>
      <c r="X235" s="18">
        <f>IF($E235="","",IF(AND($B235&lt;&gt;"",ISNA(MATCH($B235,机构表,0))),"※机构不在【资料】里",IF(AND($D235&lt;&gt;"",ISNA(MATCH($D235,状态表,0))),"※状态不在【资料】里",IF(N($M235)&gt;N($L235),"※已还本金大于典当金额",IF(AND($I235&lt;&gt;"",$J235&lt;&gt;"",$J235&lt;$I235),"※到期日早于当票日期",IF(AND($H235&lt;&gt;"",COUNTIF($H$4:$H$403,$H235)&gt;1),"※当票号在本表里出现了不止一次",IF(AND($L235&lt;&gt;"",$E235=""),"※有金额没写客户","")))))))</f>
        <v/>
      </c>
    </row>
    <row r="236">
      <c r="A236" s="18">
        <f>IF($E236="","",COUNTA($E$4:$E236))</f>
        <v/>
      </c>
      <c r="B236" s="12" t="n"/>
      <c r="C236" s="12" t="n"/>
      <c r="D236" s="12" t="n"/>
      <c r="E236" s="12" t="n"/>
      <c r="F236" s="12" t="n"/>
      <c r="G236" s="12" t="n"/>
      <c r="H236" s="12" t="n"/>
      <c r="I236" s="19" t="n"/>
      <c r="J236" s="19" t="n"/>
      <c r="K236" s="19" t="n"/>
      <c r="L236" s="20" t="n"/>
      <c r="M236" s="20" t="n"/>
      <c r="N236" s="22">
        <f>IF($E236="","",ROUND(N($L236)-N($M236),2))</f>
        <v/>
      </c>
      <c r="O236" s="21" t="n"/>
      <c r="P236" s="20" t="n"/>
      <c r="Q236" s="12" t="n"/>
      <c r="R236" s="19" t="n"/>
      <c r="S236" s="20" t="n"/>
      <c r="T236" s="20" t="n"/>
      <c r="U236" s="20" t="n"/>
      <c r="V236" s="12" t="n"/>
      <c r="W236" s="12" t="n"/>
      <c r="X236" s="18">
        <f>IF($E236="","",IF(AND($B236&lt;&gt;"",ISNA(MATCH($B236,机构表,0))),"※机构不在【资料】里",IF(AND($D236&lt;&gt;"",ISNA(MATCH($D236,状态表,0))),"※状态不在【资料】里",IF(N($M236)&gt;N($L236),"※已还本金大于典当金额",IF(AND($I236&lt;&gt;"",$J236&lt;&gt;"",$J236&lt;$I236),"※到期日早于当票日期",IF(AND($H236&lt;&gt;"",COUNTIF($H$4:$H$403,$H236)&gt;1),"※当票号在本表里出现了不止一次",IF(AND($L236&lt;&gt;"",$E236=""),"※有金额没写客户","")))))))</f>
        <v/>
      </c>
    </row>
    <row r="237">
      <c r="A237" s="18">
        <f>IF($E237="","",COUNTA($E$4:$E237))</f>
        <v/>
      </c>
      <c r="B237" s="12" t="n"/>
      <c r="C237" s="12" t="n"/>
      <c r="D237" s="12" t="n"/>
      <c r="E237" s="12" t="n"/>
      <c r="F237" s="12" t="n"/>
      <c r="G237" s="12" t="n"/>
      <c r="H237" s="12" t="n"/>
      <c r="I237" s="19" t="n"/>
      <c r="J237" s="19" t="n"/>
      <c r="K237" s="19" t="n"/>
      <c r="L237" s="20" t="n"/>
      <c r="M237" s="20" t="n"/>
      <c r="N237" s="22">
        <f>IF($E237="","",ROUND(N($L237)-N($M237),2))</f>
        <v/>
      </c>
      <c r="O237" s="21" t="n"/>
      <c r="P237" s="20" t="n"/>
      <c r="Q237" s="12" t="n"/>
      <c r="R237" s="19" t="n"/>
      <c r="S237" s="20" t="n"/>
      <c r="T237" s="20" t="n"/>
      <c r="U237" s="20" t="n"/>
      <c r="V237" s="12" t="n"/>
      <c r="W237" s="12" t="n"/>
      <c r="X237" s="18">
        <f>IF($E237="","",IF(AND($B237&lt;&gt;"",ISNA(MATCH($B237,机构表,0))),"※机构不在【资料】里",IF(AND($D237&lt;&gt;"",ISNA(MATCH($D237,状态表,0))),"※状态不在【资料】里",IF(N($M237)&gt;N($L237),"※已还本金大于典当金额",IF(AND($I237&lt;&gt;"",$J237&lt;&gt;"",$J237&lt;$I237),"※到期日早于当票日期",IF(AND($H237&lt;&gt;"",COUNTIF($H$4:$H$403,$H237)&gt;1),"※当票号在本表里出现了不止一次",IF(AND($L237&lt;&gt;"",$E237=""),"※有金额没写客户","")))))))</f>
        <v/>
      </c>
    </row>
    <row r="238">
      <c r="A238" s="18">
        <f>IF($E238="","",COUNTA($E$4:$E238))</f>
        <v/>
      </c>
      <c r="B238" s="12" t="n"/>
      <c r="C238" s="12" t="n"/>
      <c r="D238" s="12" t="n"/>
      <c r="E238" s="12" t="n"/>
      <c r="F238" s="12" t="n"/>
      <c r="G238" s="12" t="n"/>
      <c r="H238" s="12" t="n"/>
      <c r="I238" s="19" t="n"/>
      <c r="J238" s="19" t="n"/>
      <c r="K238" s="19" t="n"/>
      <c r="L238" s="20" t="n"/>
      <c r="M238" s="20" t="n"/>
      <c r="N238" s="22">
        <f>IF($E238="","",ROUND(N($L238)-N($M238),2))</f>
        <v/>
      </c>
      <c r="O238" s="21" t="n"/>
      <c r="P238" s="20" t="n"/>
      <c r="Q238" s="12" t="n"/>
      <c r="R238" s="19" t="n"/>
      <c r="S238" s="20" t="n"/>
      <c r="T238" s="20" t="n"/>
      <c r="U238" s="20" t="n"/>
      <c r="V238" s="12" t="n"/>
      <c r="W238" s="12" t="n"/>
      <c r="X238" s="18">
        <f>IF($E238="","",IF(AND($B238&lt;&gt;"",ISNA(MATCH($B238,机构表,0))),"※机构不在【资料】里",IF(AND($D238&lt;&gt;"",ISNA(MATCH($D238,状态表,0))),"※状态不在【资料】里",IF(N($M238)&gt;N($L238),"※已还本金大于典当金额",IF(AND($I238&lt;&gt;"",$J238&lt;&gt;"",$J238&lt;$I238),"※到期日早于当票日期",IF(AND($H238&lt;&gt;"",COUNTIF($H$4:$H$403,$H238)&gt;1),"※当票号在本表里出现了不止一次",IF(AND($L238&lt;&gt;"",$E238=""),"※有金额没写客户","")))))))</f>
        <v/>
      </c>
    </row>
    <row r="239">
      <c r="A239" s="18">
        <f>IF($E239="","",COUNTA($E$4:$E239))</f>
        <v/>
      </c>
      <c r="B239" s="12" t="n"/>
      <c r="C239" s="12" t="n"/>
      <c r="D239" s="12" t="n"/>
      <c r="E239" s="12" t="n"/>
      <c r="F239" s="12" t="n"/>
      <c r="G239" s="12" t="n"/>
      <c r="H239" s="12" t="n"/>
      <c r="I239" s="19" t="n"/>
      <c r="J239" s="19" t="n"/>
      <c r="K239" s="19" t="n"/>
      <c r="L239" s="20" t="n"/>
      <c r="M239" s="20" t="n"/>
      <c r="N239" s="22">
        <f>IF($E239="","",ROUND(N($L239)-N($M239),2))</f>
        <v/>
      </c>
      <c r="O239" s="21" t="n"/>
      <c r="P239" s="20" t="n"/>
      <c r="Q239" s="12" t="n"/>
      <c r="R239" s="19" t="n"/>
      <c r="S239" s="20" t="n"/>
      <c r="T239" s="20" t="n"/>
      <c r="U239" s="20" t="n"/>
      <c r="V239" s="12" t="n"/>
      <c r="W239" s="12" t="n"/>
      <c r="X239" s="18">
        <f>IF($E239="","",IF(AND($B239&lt;&gt;"",ISNA(MATCH($B239,机构表,0))),"※机构不在【资料】里",IF(AND($D239&lt;&gt;"",ISNA(MATCH($D239,状态表,0))),"※状态不在【资料】里",IF(N($M239)&gt;N($L239),"※已还本金大于典当金额",IF(AND($I239&lt;&gt;"",$J239&lt;&gt;"",$J239&lt;$I239),"※到期日早于当票日期",IF(AND($H239&lt;&gt;"",COUNTIF($H$4:$H$403,$H239)&gt;1),"※当票号在本表里出现了不止一次",IF(AND($L239&lt;&gt;"",$E239=""),"※有金额没写客户","")))))))</f>
        <v/>
      </c>
    </row>
    <row r="240">
      <c r="A240" s="18">
        <f>IF($E240="","",COUNTA($E$4:$E240))</f>
        <v/>
      </c>
      <c r="B240" s="12" t="n"/>
      <c r="C240" s="12" t="n"/>
      <c r="D240" s="12" t="n"/>
      <c r="E240" s="12" t="n"/>
      <c r="F240" s="12" t="n"/>
      <c r="G240" s="12" t="n"/>
      <c r="H240" s="12" t="n"/>
      <c r="I240" s="19" t="n"/>
      <c r="J240" s="19" t="n"/>
      <c r="K240" s="19" t="n"/>
      <c r="L240" s="20" t="n"/>
      <c r="M240" s="20" t="n"/>
      <c r="N240" s="22">
        <f>IF($E240="","",ROUND(N($L240)-N($M240),2))</f>
        <v/>
      </c>
      <c r="O240" s="21" t="n"/>
      <c r="P240" s="20" t="n"/>
      <c r="Q240" s="12" t="n"/>
      <c r="R240" s="19" t="n"/>
      <c r="S240" s="20" t="n"/>
      <c r="T240" s="20" t="n"/>
      <c r="U240" s="20" t="n"/>
      <c r="V240" s="12" t="n"/>
      <c r="W240" s="12" t="n"/>
      <c r="X240" s="18">
        <f>IF($E240="","",IF(AND($B240&lt;&gt;"",ISNA(MATCH($B240,机构表,0))),"※机构不在【资料】里",IF(AND($D240&lt;&gt;"",ISNA(MATCH($D240,状态表,0))),"※状态不在【资料】里",IF(N($M240)&gt;N($L240),"※已还本金大于典当金额",IF(AND($I240&lt;&gt;"",$J240&lt;&gt;"",$J240&lt;$I240),"※到期日早于当票日期",IF(AND($H240&lt;&gt;"",COUNTIF($H$4:$H$403,$H240)&gt;1),"※当票号在本表里出现了不止一次",IF(AND($L240&lt;&gt;"",$E240=""),"※有金额没写客户","")))))))</f>
        <v/>
      </c>
    </row>
    <row r="241">
      <c r="A241" s="18">
        <f>IF($E241="","",COUNTA($E$4:$E241))</f>
        <v/>
      </c>
      <c r="B241" s="12" t="n"/>
      <c r="C241" s="12" t="n"/>
      <c r="D241" s="12" t="n"/>
      <c r="E241" s="12" t="n"/>
      <c r="F241" s="12" t="n"/>
      <c r="G241" s="12" t="n"/>
      <c r="H241" s="12" t="n"/>
      <c r="I241" s="19" t="n"/>
      <c r="J241" s="19" t="n"/>
      <c r="K241" s="19" t="n"/>
      <c r="L241" s="20" t="n"/>
      <c r="M241" s="20" t="n"/>
      <c r="N241" s="22">
        <f>IF($E241="","",ROUND(N($L241)-N($M241),2))</f>
        <v/>
      </c>
      <c r="O241" s="21" t="n"/>
      <c r="P241" s="20" t="n"/>
      <c r="Q241" s="12" t="n"/>
      <c r="R241" s="19" t="n"/>
      <c r="S241" s="20" t="n"/>
      <c r="T241" s="20" t="n"/>
      <c r="U241" s="20" t="n"/>
      <c r="V241" s="12" t="n"/>
      <c r="W241" s="12" t="n"/>
      <c r="X241" s="18">
        <f>IF($E241="","",IF(AND($B241&lt;&gt;"",ISNA(MATCH($B241,机构表,0))),"※机构不在【资料】里",IF(AND($D241&lt;&gt;"",ISNA(MATCH($D241,状态表,0))),"※状态不在【资料】里",IF(N($M241)&gt;N($L241),"※已还本金大于典当金额",IF(AND($I241&lt;&gt;"",$J241&lt;&gt;"",$J241&lt;$I241),"※到期日早于当票日期",IF(AND($H241&lt;&gt;"",COUNTIF($H$4:$H$403,$H241)&gt;1),"※当票号在本表里出现了不止一次",IF(AND($L241&lt;&gt;"",$E241=""),"※有金额没写客户","")))))))</f>
        <v/>
      </c>
    </row>
    <row r="242">
      <c r="A242" s="18">
        <f>IF($E242="","",COUNTA($E$4:$E242))</f>
        <v/>
      </c>
      <c r="B242" s="12" t="n"/>
      <c r="C242" s="12" t="n"/>
      <c r="D242" s="12" t="n"/>
      <c r="E242" s="12" t="n"/>
      <c r="F242" s="12" t="n"/>
      <c r="G242" s="12" t="n"/>
      <c r="H242" s="12" t="n"/>
      <c r="I242" s="19" t="n"/>
      <c r="J242" s="19" t="n"/>
      <c r="K242" s="19" t="n"/>
      <c r="L242" s="20" t="n"/>
      <c r="M242" s="20" t="n"/>
      <c r="N242" s="22">
        <f>IF($E242="","",ROUND(N($L242)-N($M242),2))</f>
        <v/>
      </c>
      <c r="O242" s="21" t="n"/>
      <c r="P242" s="20" t="n"/>
      <c r="Q242" s="12" t="n"/>
      <c r="R242" s="19" t="n"/>
      <c r="S242" s="20" t="n"/>
      <c r="T242" s="20" t="n"/>
      <c r="U242" s="20" t="n"/>
      <c r="V242" s="12" t="n"/>
      <c r="W242" s="12" t="n"/>
      <c r="X242" s="18">
        <f>IF($E242="","",IF(AND($B242&lt;&gt;"",ISNA(MATCH($B242,机构表,0))),"※机构不在【资料】里",IF(AND($D242&lt;&gt;"",ISNA(MATCH($D242,状态表,0))),"※状态不在【资料】里",IF(N($M242)&gt;N($L242),"※已还本金大于典当金额",IF(AND($I242&lt;&gt;"",$J242&lt;&gt;"",$J242&lt;$I242),"※到期日早于当票日期",IF(AND($H242&lt;&gt;"",COUNTIF($H$4:$H$403,$H242)&gt;1),"※当票号在本表里出现了不止一次",IF(AND($L242&lt;&gt;"",$E242=""),"※有金额没写客户","")))))))</f>
        <v/>
      </c>
    </row>
    <row r="243">
      <c r="A243" s="18">
        <f>IF($E243="","",COUNTA($E$4:$E243))</f>
        <v/>
      </c>
      <c r="B243" s="12" t="n"/>
      <c r="C243" s="12" t="n"/>
      <c r="D243" s="12" t="n"/>
      <c r="E243" s="12" t="n"/>
      <c r="F243" s="12" t="n"/>
      <c r="G243" s="12" t="n"/>
      <c r="H243" s="12" t="n"/>
      <c r="I243" s="19" t="n"/>
      <c r="J243" s="19" t="n"/>
      <c r="K243" s="19" t="n"/>
      <c r="L243" s="20" t="n"/>
      <c r="M243" s="20" t="n"/>
      <c r="N243" s="22">
        <f>IF($E243="","",ROUND(N($L243)-N($M243),2))</f>
        <v/>
      </c>
      <c r="O243" s="21" t="n"/>
      <c r="P243" s="20" t="n"/>
      <c r="Q243" s="12" t="n"/>
      <c r="R243" s="19" t="n"/>
      <c r="S243" s="20" t="n"/>
      <c r="T243" s="20" t="n"/>
      <c r="U243" s="20" t="n"/>
      <c r="V243" s="12" t="n"/>
      <c r="W243" s="12" t="n"/>
      <c r="X243" s="18">
        <f>IF($E243="","",IF(AND($B243&lt;&gt;"",ISNA(MATCH($B243,机构表,0))),"※机构不在【资料】里",IF(AND($D243&lt;&gt;"",ISNA(MATCH($D243,状态表,0))),"※状态不在【资料】里",IF(N($M243)&gt;N($L243),"※已还本金大于典当金额",IF(AND($I243&lt;&gt;"",$J243&lt;&gt;"",$J243&lt;$I243),"※到期日早于当票日期",IF(AND($H243&lt;&gt;"",COUNTIF($H$4:$H$403,$H243)&gt;1),"※当票号在本表里出现了不止一次",IF(AND($L243&lt;&gt;"",$E243=""),"※有金额没写客户","")))))))</f>
        <v/>
      </c>
    </row>
    <row r="244">
      <c r="A244" s="18">
        <f>IF($E244="","",COUNTA($E$4:$E244))</f>
        <v/>
      </c>
      <c r="B244" s="12" t="n"/>
      <c r="C244" s="12" t="n"/>
      <c r="D244" s="12" t="n"/>
      <c r="E244" s="12" t="n"/>
      <c r="F244" s="12" t="n"/>
      <c r="G244" s="12" t="n"/>
      <c r="H244" s="12" t="n"/>
      <c r="I244" s="19" t="n"/>
      <c r="J244" s="19" t="n"/>
      <c r="K244" s="19" t="n"/>
      <c r="L244" s="20" t="n"/>
      <c r="M244" s="20" t="n"/>
      <c r="N244" s="22">
        <f>IF($E244="","",ROUND(N($L244)-N($M244),2))</f>
        <v/>
      </c>
      <c r="O244" s="21" t="n"/>
      <c r="P244" s="20" t="n"/>
      <c r="Q244" s="12" t="n"/>
      <c r="R244" s="19" t="n"/>
      <c r="S244" s="20" t="n"/>
      <c r="T244" s="20" t="n"/>
      <c r="U244" s="20" t="n"/>
      <c r="V244" s="12" t="n"/>
      <c r="W244" s="12" t="n"/>
      <c r="X244" s="18">
        <f>IF($E244="","",IF(AND($B244&lt;&gt;"",ISNA(MATCH($B244,机构表,0))),"※机构不在【资料】里",IF(AND($D244&lt;&gt;"",ISNA(MATCH($D244,状态表,0))),"※状态不在【资料】里",IF(N($M244)&gt;N($L244),"※已还本金大于典当金额",IF(AND($I244&lt;&gt;"",$J244&lt;&gt;"",$J244&lt;$I244),"※到期日早于当票日期",IF(AND($H244&lt;&gt;"",COUNTIF($H$4:$H$403,$H244)&gt;1),"※当票号在本表里出现了不止一次",IF(AND($L244&lt;&gt;"",$E244=""),"※有金额没写客户","")))))))</f>
        <v/>
      </c>
    </row>
    <row r="245">
      <c r="A245" s="18">
        <f>IF($E245="","",COUNTA($E$4:$E245))</f>
        <v/>
      </c>
      <c r="B245" s="12" t="n"/>
      <c r="C245" s="12" t="n"/>
      <c r="D245" s="12" t="n"/>
      <c r="E245" s="12" t="n"/>
      <c r="F245" s="12" t="n"/>
      <c r="G245" s="12" t="n"/>
      <c r="H245" s="12" t="n"/>
      <c r="I245" s="19" t="n"/>
      <c r="J245" s="19" t="n"/>
      <c r="K245" s="19" t="n"/>
      <c r="L245" s="20" t="n"/>
      <c r="M245" s="20" t="n"/>
      <c r="N245" s="22">
        <f>IF($E245="","",ROUND(N($L245)-N($M245),2))</f>
        <v/>
      </c>
      <c r="O245" s="21" t="n"/>
      <c r="P245" s="20" t="n"/>
      <c r="Q245" s="12" t="n"/>
      <c r="R245" s="19" t="n"/>
      <c r="S245" s="20" t="n"/>
      <c r="T245" s="20" t="n"/>
      <c r="U245" s="20" t="n"/>
      <c r="V245" s="12" t="n"/>
      <c r="W245" s="12" t="n"/>
      <c r="X245" s="18">
        <f>IF($E245="","",IF(AND($B245&lt;&gt;"",ISNA(MATCH($B245,机构表,0))),"※机构不在【资料】里",IF(AND($D245&lt;&gt;"",ISNA(MATCH($D245,状态表,0))),"※状态不在【资料】里",IF(N($M245)&gt;N($L245),"※已还本金大于典当金额",IF(AND($I245&lt;&gt;"",$J245&lt;&gt;"",$J245&lt;$I245),"※到期日早于当票日期",IF(AND($H245&lt;&gt;"",COUNTIF($H$4:$H$403,$H245)&gt;1),"※当票号在本表里出现了不止一次",IF(AND($L245&lt;&gt;"",$E245=""),"※有金额没写客户","")))))))</f>
        <v/>
      </c>
    </row>
    <row r="246">
      <c r="A246" s="18">
        <f>IF($E246="","",COUNTA($E$4:$E246))</f>
        <v/>
      </c>
      <c r="B246" s="12" t="n"/>
      <c r="C246" s="12" t="n"/>
      <c r="D246" s="12" t="n"/>
      <c r="E246" s="12" t="n"/>
      <c r="F246" s="12" t="n"/>
      <c r="G246" s="12" t="n"/>
      <c r="H246" s="12" t="n"/>
      <c r="I246" s="19" t="n"/>
      <c r="J246" s="19" t="n"/>
      <c r="K246" s="19" t="n"/>
      <c r="L246" s="20" t="n"/>
      <c r="M246" s="20" t="n"/>
      <c r="N246" s="22">
        <f>IF($E246="","",ROUND(N($L246)-N($M246),2))</f>
        <v/>
      </c>
      <c r="O246" s="21" t="n"/>
      <c r="P246" s="20" t="n"/>
      <c r="Q246" s="12" t="n"/>
      <c r="R246" s="19" t="n"/>
      <c r="S246" s="20" t="n"/>
      <c r="T246" s="20" t="n"/>
      <c r="U246" s="20" t="n"/>
      <c r="V246" s="12" t="n"/>
      <c r="W246" s="12" t="n"/>
      <c r="X246" s="18">
        <f>IF($E246="","",IF(AND($B246&lt;&gt;"",ISNA(MATCH($B246,机构表,0))),"※机构不在【资料】里",IF(AND($D246&lt;&gt;"",ISNA(MATCH($D246,状态表,0))),"※状态不在【资料】里",IF(N($M246)&gt;N($L246),"※已还本金大于典当金额",IF(AND($I246&lt;&gt;"",$J246&lt;&gt;"",$J246&lt;$I246),"※到期日早于当票日期",IF(AND($H246&lt;&gt;"",COUNTIF($H$4:$H$403,$H246)&gt;1),"※当票号在本表里出现了不止一次",IF(AND($L246&lt;&gt;"",$E246=""),"※有金额没写客户","")))))))</f>
        <v/>
      </c>
    </row>
    <row r="247">
      <c r="A247" s="18">
        <f>IF($E247="","",COUNTA($E$4:$E247))</f>
        <v/>
      </c>
      <c r="B247" s="12" t="n"/>
      <c r="C247" s="12" t="n"/>
      <c r="D247" s="12" t="n"/>
      <c r="E247" s="12" t="n"/>
      <c r="F247" s="12" t="n"/>
      <c r="G247" s="12" t="n"/>
      <c r="H247" s="12" t="n"/>
      <c r="I247" s="19" t="n"/>
      <c r="J247" s="19" t="n"/>
      <c r="K247" s="19" t="n"/>
      <c r="L247" s="20" t="n"/>
      <c r="M247" s="20" t="n"/>
      <c r="N247" s="22">
        <f>IF($E247="","",ROUND(N($L247)-N($M247),2))</f>
        <v/>
      </c>
      <c r="O247" s="21" t="n"/>
      <c r="P247" s="20" t="n"/>
      <c r="Q247" s="12" t="n"/>
      <c r="R247" s="19" t="n"/>
      <c r="S247" s="20" t="n"/>
      <c r="T247" s="20" t="n"/>
      <c r="U247" s="20" t="n"/>
      <c r="V247" s="12" t="n"/>
      <c r="W247" s="12" t="n"/>
      <c r="X247" s="18">
        <f>IF($E247="","",IF(AND($B247&lt;&gt;"",ISNA(MATCH($B247,机构表,0))),"※机构不在【资料】里",IF(AND($D247&lt;&gt;"",ISNA(MATCH($D247,状态表,0))),"※状态不在【资料】里",IF(N($M247)&gt;N($L247),"※已还本金大于典当金额",IF(AND($I247&lt;&gt;"",$J247&lt;&gt;"",$J247&lt;$I247),"※到期日早于当票日期",IF(AND($H247&lt;&gt;"",COUNTIF($H$4:$H$403,$H247)&gt;1),"※当票号在本表里出现了不止一次",IF(AND($L247&lt;&gt;"",$E247=""),"※有金额没写客户","")))))))</f>
        <v/>
      </c>
    </row>
    <row r="248">
      <c r="A248" s="18">
        <f>IF($E248="","",COUNTA($E$4:$E248))</f>
        <v/>
      </c>
      <c r="B248" s="12" t="n"/>
      <c r="C248" s="12" t="n"/>
      <c r="D248" s="12" t="n"/>
      <c r="E248" s="12" t="n"/>
      <c r="F248" s="12" t="n"/>
      <c r="G248" s="12" t="n"/>
      <c r="H248" s="12" t="n"/>
      <c r="I248" s="19" t="n"/>
      <c r="J248" s="19" t="n"/>
      <c r="K248" s="19" t="n"/>
      <c r="L248" s="20" t="n"/>
      <c r="M248" s="20" t="n"/>
      <c r="N248" s="22">
        <f>IF($E248="","",ROUND(N($L248)-N($M248),2))</f>
        <v/>
      </c>
      <c r="O248" s="21" t="n"/>
      <c r="P248" s="20" t="n"/>
      <c r="Q248" s="12" t="n"/>
      <c r="R248" s="19" t="n"/>
      <c r="S248" s="20" t="n"/>
      <c r="T248" s="20" t="n"/>
      <c r="U248" s="20" t="n"/>
      <c r="V248" s="12" t="n"/>
      <c r="W248" s="12" t="n"/>
      <c r="X248" s="18">
        <f>IF($E248="","",IF(AND($B248&lt;&gt;"",ISNA(MATCH($B248,机构表,0))),"※机构不在【资料】里",IF(AND($D248&lt;&gt;"",ISNA(MATCH($D248,状态表,0))),"※状态不在【资料】里",IF(N($M248)&gt;N($L248),"※已还本金大于典当金额",IF(AND($I248&lt;&gt;"",$J248&lt;&gt;"",$J248&lt;$I248),"※到期日早于当票日期",IF(AND($H248&lt;&gt;"",COUNTIF($H$4:$H$403,$H248)&gt;1),"※当票号在本表里出现了不止一次",IF(AND($L248&lt;&gt;"",$E248=""),"※有金额没写客户","")))))))</f>
        <v/>
      </c>
    </row>
    <row r="249">
      <c r="A249" s="18">
        <f>IF($E249="","",COUNTA($E$4:$E249))</f>
        <v/>
      </c>
      <c r="B249" s="12" t="n"/>
      <c r="C249" s="12" t="n"/>
      <c r="D249" s="12" t="n"/>
      <c r="E249" s="12" t="n"/>
      <c r="F249" s="12" t="n"/>
      <c r="G249" s="12" t="n"/>
      <c r="H249" s="12" t="n"/>
      <c r="I249" s="19" t="n"/>
      <c r="J249" s="19" t="n"/>
      <c r="K249" s="19" t="n"/>
      <c r="L249" s="20" t="n"/>
      <c r="M249" s="20" t="n"/>
      <c r="N249" s="22">
        <f>IF($E249="","",ROUND(N($L249)-N($M249),2))</f>
        <v/>
      </c>
      <c r="O249" s="21" t="n"/>
      <c r="P249" s="20" t="n"/>
      <c r="Q249" s="12" t="n"/>
      <c r="R249" s="19" t="n"/>
      <c r="S249" s="20" t="n"/>
      <c r="T249" s="20" t="n"/>
      <c r="U249" s="20" t="n"/>
      <c r="V249" s="12" t="n"/>
      <c r="W249" s="12" t="n"/>
      <c r="X249" s="18">
        <f>IF($E249="","",IF(AND($B249&lt;&gt;"",ISNA(MATCH($B249,机构表,0))),"※机构不在【资料】里",IF(AND($D249&lt;&gt;"",ISNA(MATCH($D249,状态表,0))),"※状态不在【资料】里",IF(N($M249)&gt;N($L249),"※已还本金大于典当金额",IF(AND($I249&lt;&gt;"",$J249&lt;&gt;"",$J249&lt;$I249),"※到期日早于当票日期",IF(AND($H249&lt;&gt;"",COUNTIF($H$4:$H$403,$H249)&gt;1),"※当票号在本表里出现了不止一次",IF(AND($L249&lt;&gt;"",$E249=""),"※有金额没写客户","")))))))</f>
        <v/>
      </c>
    </row>
    <row r="250">
      <c r="A250" s="18">
        <f>IF($E250="","",COUNTA($E$4:$E250))</f>
        <v/>
      </c>
      <c r="B250" s="12" t="n"/>
      <c r="C250" s="12" t="n"/>
      <c r="D250" s="12" t="n"/>
      <c r="E250" s="12" t="n"/>
      <c r="F250" s="12" t="n"/>
      <c r="G250" s="12" t="n"/>
      <c r="H250" s="12" t="n"/>
      <c r="I250" s="19" t="n"/>
      <c r="J250" s="19" t="n"/>
      <c r="K250" s="19" t="n"/>
      <c r="L250" s="20" t="n"/>
      <c r="M250" s="20" t="n"/>
      <c r="N250" s="22">
        <f>IF($E250="","",ROUND(N($L250)-N($M250),2))</f>
        <v/>
      </c>
      <c r="O250" s="21" t="n"/>
      <c r="P250" s="20" t="n"/>
      <c r="Q250" s="12" t="n"/>
      <c r="R250" s="19" t="n"/>
      <c r="S250" s="20" t="n"/>
      <c r="T250" s="20" t="n"/>
      <c r="U250" s="20" t="n"/>
      <c r="V250" s="12" t="n"/>
      <c r="W250" s="12" t="n"/>
      <c r="X250" s="18">
        <f>IF($E250="","",IF(AND($B250&lt;&gt;"",ISNA(MATCH($B250,机构表,0))),"※机构不在【资料】里",IF(AND($D250&lt;&gt;"",ISNA(MATCH($D250,状态表,0))),"※状态不在【资料】里",IF(N($M250)&gt;N($L250),"※已还本金大于典当金额",IF(AND($I250&lt;&gt;"",$J250&lt;&gt;"",$J250&lt;$I250),"※到期日早于当票日期",IF(AND($H250&lt;&gt;"",COUNTIF($H$4:$H$403,$H250)&gt;1),"※当票号在本表里出现了不止一次",IF(AND($L250&lt;&gt;"",$E250=""),"※有金额没写客户","")))))))</f>
        <v/>
      </c>
    </row>
    <row r="251">
      <c r="A251" s="18">
        <f>IF($E251="","",COUNTA($E$4:$E251))</f>
        <v/>
      </c>
      <c r="B251" s="12" t="n"/>
      <c r="C251" s="12" t="n"/>
      <c r="D251" s="12" t="n"/>
      <c r="E251" s="12" t="n"/>
      <c r="F251" s="12" t="n"/>
      <c r="G251" s="12" t="n"/>
      <c r="H251" s="12" t="n"/>
      <c r="I251" s="19" t="n"/>
      <c r="J251" s="19" t="n"/>
      <c r="K251" s="19" t="n"/>
      <c r="L251" s="20" t="n"/>
      <c r="M251" s="20" t="n"/>
      <c r="N251" s="22">
        <f>IF($E251="","",ROUND(N($L251)-N($M251),2))</f>
        <v/>
      </c>
      <c r="O251" s="21" t="n"/>
      <c r="P251" s="20" t="n"/>
      <c r="Q251" s="12" t="n"/>
      <c r="R251" s="19" t="n"/>
      <c r="S251" s="20" t="n"/>
      <c r="T251" s="20" t="n"/>
      <c r="U251" s="20" t="n"/>
      <c r="V251" s="12" t="n"/>
      <c r="W251" s="12" t="n"/>
      <c r="X251" s="18">
        <f>IF($E251="","",IF(AND($B251&lt;&gt;"",ISNA(MATCH($B251,机构表,0))),"※机构不在【资料】里",IF(AND($D251&lt;&gt;"",ISNA(MATCH($D251,状态表,0))),"※状态不在【资料】里",IF(N($M251)&gt;N($L251),"※已还本金大于典当金额",IF(AND($I251&lt;&gt;"",$J251&lt;&gt;"",$J251&lt;$I251),"※到期日早于当票日期",IF(AND($H251&lt;&gt;"",COUNTIF($H$4:$H$403,$H251)&gt;1),"※当票号在本表里出现了不止一次",IF(AND($L251&lt;&gt;"",$E251=""),"※有金额没写客户","")))))))</f>
        <v/>
      </c>
    </row>
    <row r="252">
      <c r="A252" s="18">
        <f>IF($E252="","",COUNTA($E$4:$E252))</f>
        <v/>
      </c>
      <c r="B252" s="12" t="n"/>
      <c r="C252" s="12" t="n"/>
      <c r="D252" s="12" t="n"/>
      <c r="E252" s="12" t="n"/>
      <c r="F252" s="12" t="n"/>
      <c r="G252" s="12" t="n"/>
      <c r="H252" s="12" t="n"/>
      <c r="I252" s="19" t="n"/>
      <c r="J252" s="19" t="n"/>
      <c r="K252" s="19" t="n"/>
      <c r="L252" s="20" t="n"/>
      <c r="M252" s="20" t="n"/>
      <c r="N252" s="22">
        <f>IF($E252="","",ROUND(N($L252)-N($M252),2))</f>
        <v/>
      </c>
      <c r="O252" s="21" t="n"/>
      <c r="P252" s="20" t="n"/>
      <c r="Q252" s="12" t="n"/>
      <c r="R252" s="19" t="n"/>
      <c r="S252" s="20" t="n"/>
      <c r="T252" s="20" t="n"/>
      <c r="U252" s="20" t="n"/>
      <c r="V252" s="12" t="n"/>
      <c r="W252" s="12" t="n"/>
      <c r="X252" s="18">
        <f>IF($E252="","",IF(AND($B252&lt;&gt;"",ISNA(MATCH($B252,机构表,0))),"※机构不在【资料】里",IF(AND($D252&lt;&gt;"",ISNA(MATCH($D252,状态表,0))),"※状态不在【资料】里",IF(N($M252)&gt;N($L252),"※已还本金大于典当金额",IF(AND($I252&lt;&gt;"",$J252&lt;&gt;"",$J252&lt;$I252),"※到期日早于当票日期",IF(AND($H252&lt;&gt;"",COUNTIF($H$4:$H$403,$H252)&gt;1),"※当票号在本表里出现了不止一次",IF(AND($L252&lt;&gt;"",$E252=""),"※有金额没写客户","")))))))</f>
        <v/>
      </c>
    </row>
    <row r="253">
      <c r="A253" s="18">
        <f>IF($E253="","",COUNTA($E$4:$E253))</f>
        <v/>
      </c>
      <c r="B253" s="12" t="n"/>
      <c r="C253" s="12" t="n"/>
      <c r="D253" s="12" t="n"/>
      <c r="E253" s="12" t="n"/>
      <c r="F253" s="12" t="n"/>
      <c r="G253" s="12" t="n"/>
      <c r="H253" s="12" t="n"/>
      <c r="I253" s="19" t="n"/>
      <c r="J253" s="19" t="n"/>
      <c r="K253" s="19" t="n"/>
      <c r="L253" s="20" t="n"/>
      <c r="M253" s="20" t="n"/>
      <c r="N253" s="22">
        <f>IF($E253="","",ROUND(N($L253)-N($M253),2))</f>
        <v/>
      </c>
      <c r="O253" s="21" t="n"/>
      <c r="P253" s="20" t="n"/>
      <c r="Q253" s="12" t="n"/>
      <c r="R253" s="19" t="n"/>
      <c r="S253" s="20" t="n"/>
      <c r="T253" s="20" t="n"/>
      <c r="U253" s="20" t="n"/>
      <c r="V253" s="12" t="n"/>
      <c r="W253" s="12" t="n"/>
      <c r="X253" s="18">
        <f>IF($E253="","",IF(AND($B253&lt;&gt;"",ISNA(MATCH($B253,机构表,0))),"※机构不在【资料】里",IF(AND($D253&lt;&gt;"",ISNA(MATCH($D253,状态表,0))),"※状态不在【资料】里",IF(N($M253)&gt;N($L253),"※已还本金大于典当金额",IF(AND($I253&lt;&gt;"",$J253&lt;&gt;"",$J253&lt;$I253),"※到期日早于当票日期",IF(AND($H253&lt;&gt;"",COUNTIF($H$4:$H$403,$H253)&gt;1),"※当票号在本表里出现了不止一次",IF(AND($L253&lt;&gt;"",$E253=""),"※有金额没写客户","")))))))</f>
        <v/>
      </c>
    </row>
    <row r="254">
      <c r="A254" s="18">
        <f>IF($E254="","",COUNTA($E$4:$E254))</f>
        <v/>
      </c>
      <c r="B254" s="12" t="n"/>
      <c r="C254" s="12" t="n"/>
      <c r="D254" s="12" t="n"/>
      <c r="E254" s="12" t="n"/>
      <c r="F254" s="12" t="n"/>
      <c r="G254" s="12" t="n"/>
      <c r="H254" s="12" t="n"/>
      <c r="I254" s="19" t="n"/>
      <c r="J254" s="19" t="n"/>
      <c r="K254" s="19" t="n"/>
      <c r="L254" s="20" t="n"/>
      <c r="M254" s="20" t="n"/>
      <c r="N254" s="22">
        <f>IF($E254="","",ROUND(N($L254)-N($M254),2))</f>
        <v/>
      </c>
      <c r="O254" s="21" t="n"/>
      <c r="P254" s="20" t="n"/>
      <c r="Q254" s="12" t="n"/>
      <c r="R254" s="19" t="n"/>
      <c r="S254" s="20" t="n"/>
      <c r="T254" s="20" t="n"/>
      <c r="U254" s="20" t="n"/>
      <c r="V254" s="12" t="n"/>
      <c r="W254" s="12" t="n"/>
      <c r="X254" s="18">
        <f>IF($E254="","",IF(AND($B254&lt;&gt;"",ISNA(MATCH($B254,机构表,0))),"※机构不在【资料】里",IF(AND($D254&lt;&gt;"",ISNA(MATCH($D254,状态表,0))),"※状态不在【资料】里",IF(N($M254)&gt;N($L254),"※已还本金大于典当金额",IF(AND($I254&lt;&gt;"",$J254&lt;&gt;"",$J254&lt;$I254),"※到期日早于当票日期",IF(AND($H254&lt;&gt;"",COUNTIF($H$4:$H$403,$H254)&gt;1),"※当票号在本表里出现了不止一次",IF(AND($L254&lt;&gt;"",$E254=""),"※有金额没写客户","")))))))</f>
        <v/>
      </c>
    </row>
    <row r="255">
      <c r="A255" s="18">
        <f>IF($E255="","",COUNTA($E$4:$E255))</f>
        <v/>
      </c>
      <c r="B255" s="12" t="n"/>
      <c r="C255" s="12" t="n"/>
      <c r="D255" s="12" t="n"/>
      <c r="E255" s="12" t="n"/>
      <c r="F255" s="12" t="n"/>
      <c r="G255" s="12" t="n"/>
      <c r="H255" s="12" t="n"/>
      <c r="I255" s="19" t="n"/>
      <c r="J255" s="19" t="n"/>
      <c r="K255" s="19" t="n"/>
      <c r="L255" s="20" t="n"/>
      <c r="M255" s="20" t="n"/>
      <c r="N255" s="22">
        <f>IF($E255="","",ROUND(N($L255)-N($M255),2))</f>
        <v/>
      </c>
      <c r="O255" s="21" t="n"/>
      <c r="P255" s="20" t="n"/>
      <c r="Q255" s="12" t="n"/>
      <c r="R255" s="19" t="n"/>
      <c r="S255" s="20" t="n"/>
      <c r="T255" s="20" t="n"/>
      <c r="U255" s="20" t="n"/>
      <c r="V255" s="12" t="n"/>
      <c r="W255" s="12" t="n"/>
      <c r="X255" s="18">
        <f>IF($E255="","",IF(AND($B255&lt;&gt;"",ISNA(MATCH($B255,机构表,0))),"※机构不在【资料】里",IF(AND($D255&lt;&gt;"",ISNA(MATCH($D255,状态表,0))),"※状态不在【资料】里",IF(N($M255)&gt;N($L255),"※已还本金大于典当金额",IF(AND($I255&lt;&gt;"",$J255&lt;&gt;"",$J255&lt;$I255),"※到期日早于当票日期",IF(AND($H255&lt;&gt;"",COUNTIF($H$4:$H$403,$H255)&gt;1),"※当票号在本表里出现了不止一次",IF(AND($L255&lt;&gt;"",$E255=""),"※有金额没写客户","")))))))</f>
        <v/>
      </c>
    </row>
    <row r="256">
      <c r="A256" s="18">
        <f>IF($E256="","",COUNTA($E$4:$E256))</f>
        <v/>
      </c>
      <c r="B256" s="12" t="n"/>
      <c r="C256" s="12" t="n"/>
      <c r="D256" s="12" t="n"/>
      <c r="E256" s="12" t="n"/>
      <c r="F256" s="12" t="n"/>
      <c r="G256" s="12" t="n"/>
      <c r="H256" s="12" t="n"/>
      <c r="I256" s="19" t="n"/>
      <c r="J256" s="19" t="n"/>
      <c r="K256" s="19" t="n"/>
      <c r="L256" s="20" t="n"/>
      <c r="M256" s="20" t="n"/>
      <c r="N256" s="22">
        <f>IF($E256="","",ROUND(N($L256)-N($M256),2))</f>
        <v/>
      </c>
      <c r="O256" s="21" t="n"/>
      <c r="P256" s="20" t="n"/>
      <c r="Q256" s="12" t="n"/>
      <c r="R256" s="19" t="n"/>
      <c r="S256" s="20" t="n"/>
      <c r="T256" s="20" t="n"/>
      <c r="U256" s="20" t="n"/>
      <c r="V256" s="12" t="n"/>
      <c r="W256" s="12" t="n"/>
      <c r="X256" s="18">
        <f>IF($E256="","",IF(AND($B256&lt;&gt;"",ISNA(MATCH($B256,机构表,0))),"※机构不在【资料】里",IF(AND($D256&lt;&gt;"",ISNA(MATCH($D256,状态表,0))),"※状态不在【资料】里",IF(N($M256)&gt;N($L256),"※已还本金大于典当金额",IF(AND($I256&lt;&gt;"",$J256&lt;&gt;"",$J256&lt;$I256),"※到期日早于当票日期",IF(AND($H256&lt;&gt;"",COUNTIF($H$4:$H$403,$H256)&gt;1),"※当票号在本表里出现了不止一次",IF(AND($L256&lt;&gt;"",$E256=""),"※有金额没写客户","")))))))</f>
        <v/>
      </c>
    </row>
    <row r="257">
      <c r="A257" s="18">
        <f>IF($E257="","",COUNTA($E$4:$E257))</f>
        <v/>
      </c>
      <c r="B257" s="12" t="n"/>
      <c r="C257" s="12" t="n"/>
      <c r="D257" s="12" t="n"/>
      <c r="E257" s="12" t="n"/>
      <c r="F257" s="12" t="n"/>
      <c r="G257" s="12" t="n"/>
      <c r="H257" s="12" t="n"/>
      <c r="I257" s="19" t="n"/>
      <c r="J257" s="19" t="n"/>
      <c r="K257" s="19" t="n"/>
      <c r="L257" s="20" t="n"/>
      <c r="M257" s="20" t="n"/>
      <c r="N257" s="22">
        <f>IF($E257="","",ROUND(N($L257)-N($M257),2))</f>
        <v/>
      </c>
      <c r="O257" s="21" t="n"/>
      <c r="P257" s="20" t="n"/>
      <c r="Q257" s="12" t="n"/>
      <c r="R257" s="19" t="n"/>
      <c r="S257" s="20" t="n"/>
      <c r="T257" s="20" t="n"/>
      <c r="U257" s="20" t="n"/>
      <c r="V257" s="12" t="n"/>
      <c r="W257" s="12" t="n"/>
      <c r="X257" s="18">
        <f>IF($E257="","",IF(AND($B257&lt;&gt;"",ISNA(MATCH($B257,机构表,0))),"※机构不在【资料】里",IF(AND($D257&lt;&gt;"",ISNA(MATCH($D257,状态表,0))),"※状态不在【资料】里",IF(N($M257)&gt;N($L257),"※已还本金大于典当金额",IF(AND($I257&lt;&gt;"",$J257&lt;&gt;"",$J257&lt;$I257),"※到期日早于当票日期",IF(AND($H257&lt;&gt;"",COUNTIF($H$4:$H$403,$H257)&gt;1),"※当票号在本表里出现了不止一次",IF(AND($L257&lt;&gt;"",$E257=""),"※有金额没写客户","")))))))</f>
        <v/>
      </c>
    </row>
    <row r="258">
      <c r="A258" s="18">
        <f>IF($E258="","",COUNTA($E$4:$E258))</f>
        <v/>
      </c>
      <c r="B258" s="12" t="n"/>
      <c r="C258" s="12" t="n"/>
      <c r="D258" s="12" t="n"/>
      <c r="E258" s="12" t="n"/>
      <c r="F258" s="12" t="n"/>
      <c r="G258" s="12" t="n"/>
      <c r="H258" s="12" t="n"/>
      <c r="I258" s="19" t="n"/>
      <c r="J258" s="19" t="n"/>
      <c r="K258" s="19" t="n"/>
      <c r="L258" s="20" t="n"/>
      <c r="M258" s="20" t="n"/>
      <c r="N258" s="22">
        <f>IF($E258="","",ROUND(N($L258)-N($M258),2))</f>
        <v/>
      </c>
      <c r="O258" s="21" t="n"/>
      <c r="P258" s="20" t="n"/>
      <c r="Q258" s="12" t="n"/>
      <c r="R258" s="19" t="n"/>
      <c r="S258" s="20" t="n"/>
      <c r="T258" s="20" t="n"/>
      <c r="U258" s="20" t="n"/>
      <c r="V258" s="12" t="n"/>
      <c r="W258" s="12" t="n"/>
      <c r="X258" s="18">
        <f>IF($E258="","",IF(AND($B258&lt;&gt;"",ISNA(MATCH($B258,机构表,0))),"※机构不在【资料】里",IF(AND($D258&lt;&gt;"",ISNA(MATCH($D258,状态表,0))),"※状态不在【资料】里",IF(N($M258)&gt;N($L258),"※已还本金大于典当金额",IF(AND($I258&lt;&gt;"",$J258&lt;&gt;"",$J258&lt;$I258),"※到期日早于当票日期",IF(AND($H258&lt;&gt;"",COUNTIF($H$4:$H$403,$H258)&gt;1),"※当票号在本表里出现了不止一次",IF(AND($L258&lt;&gt;"",$E258=""),"※有金额没写客户","")))))))</f>
        <v/>
      </c>
    </row>
    <row r="259">
      <c r="A259" s="18">
        <f>IF($E259="","",COUNTA($E$4:$E259))</f>
        <v/>
      </c>
      <c r="B259" s="12" t="n"/>
      <c r="C259" s="12" t="n"/>
      <c r="D259" s="12" t="n"/>
      <c r="E259" s="12" t="n"/>
      <c r="F259" s="12" t="n"/>
      <c r="G259" s="12" t="n"/>
      <c r="H259" s="12" t="n"/>
      <c r="I259" s="19" t="n"/>
      <c r="J259" s="19" t="n"/>
      <c r="K259" s="19" t="n"/>
      <c r="L259" s="20" t="n"/>
      <c r="M259" s="20" t="n"/>
      <c r="N259" s="22">
        <f>IF($E259="","",ROUND(N($L259)-N($M259),2))</f>
        <v/>
      </c>
      <c r="O259" s="21" t="n"/>
      <c r="P259" s="20" t="n"/>
      <c r="Q259" s="12" t="n"/>
      <c r="R259" s="19" t="n"/>
      <c r="S259" s="20" t="n"/>
      <c r="T259" s="20" t="n"/>
      <c r="U259" s="20" t="n"/>
      <c r="V259" s="12" t="n"/>
      <c r="W259" s="12" t="n"/>
      <c r="X259" s="18">
        <f>IF($E259="","",IF(AND($B259&lt;&gt;"",ISNA(MATCH($B259,机构表,0))),"※机构不在【资料】里",IF(AND($D259&lt;&gt;"",ISNA(MATCH($D259,状态表,0))),"※状态不在【资料】里",IF(N($M259)&gt;N($L259),"※已还本金大于典当金额",IF(AND($I259&lt;&gt;"",$J259&lt;&gt;"",$J259&lt;$I259),"※到期日早于当票日期",IF(AND($H259&lt;&gt;"",COUNTIF($H$4:$H$403,$H259)&gt;1),"※当票号在本表里出现了不止一次",IF(AND($L259&lt;&gt;"",$E259=""),"※有金额没写客户","")))))))</f>
        <v/>
      </c>
    </row>
    <row r="260">
      <c r="A260" s="18">
        <f>IF($E260="","",COUNTA($E$4:$E260))</f>
        <v/>
      </c>
      <c r="B260" s="12" t="n"/>
      <c r="C260" s="12" t="n"/>
      <c r="D260" s="12" t="n"/>
      <c r="E260" s="12" t="n"/>
      <c r="F260" s="12" t="n"/>
      <c r="G260" s="12" t="n"/>
      <c r="H260" s="12" t="n"/>
      <c r="I260" s="19" t="n"/>
      <c r="J260" s="19" t="n"/>
      <c r="K260" s="19" t="n"/>
      <c r="L260" s="20" t="n"/>
      <c r="M260" s="20" t="n"/>
      <c r="N260" s="22">
        <f>IF($E260="","",ROUND(N($L260)-N($M260),2))</f>
        <v/>
      </c>
      <c r="O260" s="21" t="n"/>
      <c r="P260" s="20" t="n"/>
      <c r="Q260" s="12" t="n"/>
      <c r="R260" s="19" t="n"/>
      <c r="S260" s="20" t="n"/>
      <c r="T260" s="20" t="n"/>
      <c r="U260" s="20" t="n"/>
      <c r="V260" s="12" t="n"/>
      <c r="W260" s="12" t="n"/>
      <c r="X260" s="18">
        <f>IF($E260="","",IF(AND($B260&lt;&gt;"",ISNA(MATCH($B260,机构表,0))),"※机构不在【资料】里",IF(AND($D260&lt;&gt;"",ISNA(MATCH($D260,状态表,0))),"※状态不在【资料】里",IF(N($M260)&gt;N($L260),"※已还本金大于典当金额",IF(AND($I260&lt;&gt;"",$J260&lt;&gt;"",$J260&lt;$I260),"※到期日早于当票日期",IF(AND($H260&lt;&gt;"",COUNTIF($H$4:$H$403,$H260)&gt;1),"※当票号在本表里出现了不止一次",IF(AND($L260&lt;&gt;"",$E260=""),"※有金额没写客户","")))))))</f>
        <v/>
      </c>
    </row>
    <row r="261">
      <c r="A261" s="18">
        <f>IF($E261="","",COUNTA($E$4:$E261))</f>
        <v/>
      </c>
      <c r="B261" s="12" t="n"/>
      <c r="C261" s="12" t="n"/>
      <c r="D261" s="12" t="n"/>
      <c r="E261" s="12" t="n"/>
      <c r="F261" s="12" t="n"/>
      <c r="G261" s="12" t="n"/>
      <c r="H261" s="12" t="n"/>
      <c r="I261" s="19" t="n"/>
      <c r="J261" s="19" t="n"/>
      <c r="K261" s="19" t="n"/>
      <c r="L261" s="20" t="n"/>
      <c r="M261" s="20" t="n"/>
      <c r="N261" s="22">
        <f>IF($E261="","",ROUND(N($L261)-N($M261),2))</f>
        <v/>
      </c>
      <c r="O261" s="21" t="n"/>
      <c r="P261" s="20" t="n"/>
      <c r="Q261" s="12" t="n"/>
      <c r="R261" s="19" t="n"/>
      <c r="S261" s="20" t="n"/>
      <c r="T261" s="20" t="n"/>
      <c r="U261" s="20" t="n"/>
      <c r="V261" s="12" t="n"/>
      <c r="W261" s="12" t="n"/>
      <c r="X261" s="18">
        <f>IF($E261="","",IF(AND($B261&lt;&gt;"",ISNA(MATCH($B261,机构表,0))),"※机构不在【资料】里",IF(AND($D261&lt;&gt;"",ISNA(MATCH($D261,状态表,0))),"※状态不在【资料】里",IF(N($M261)&gt;N($L261),"※已还本金大于典当金额",IF(AND($I261&lt;&gt;"",$J261&lt;&gt;"",$J261&lt;$I261),"※到期日早于当票日期",IF(AND($H261&lt;&gt;"",COUNTIF($H$4:$H$403,$H261)&gt;1),"※当票号在本表里出现了不止一次",IF(AND($L261&lt;&gt;"",$E261=""),"※有金额没写客户","")))))))</f>
        <v/>
      </c>
    </row>
    <row r="262">
      <c r="A262" s="18">
        <f>IF($E262="","",COUNTA($E$4:$E262))</f>
        <v/>
      </c>
      <c r="B262" s="12" t="n"/>
      <c r="C262" s="12" t="n"/>
      <c r="D262" s="12" t="n"/>
      <c r="E262" s="12" t="n"/>
      <c r="F262" s="12" t="n"/>
      <c r="G262" s="12" t="n"/>
      <c r="H262" s="12" t="n"/>
      <c r="I262" s="19" t="n"/>
      <c r="J262" s="19" t="n"/>
      <c r="K262" s="19" t="n"/>
      <c r="L262" s="20" t="n"/>
      <c r="M262" s="20" t="n"/>
      <c r="N262" s="22">
        <f>IF($E262="","",ROUND(N($L262)-N($M262),2))</f>
        <v/>
      </c>
      <c r="O262" s="21" t="n"/>
      <c r="P262" s="20" t="n"/>
      <c r="Q262" s="12" t="n"/>
      <c r="R262" s="19" t="n"/>
      <c r="S262" s="20" t="n"/>
      <c r="T262" s="20" t="n"/>
      <c r="U262" s="20" t="n"/>
      <c r="V262" s="12" t="n"/>
      <c r="W262" s="12" t="n"/>
      <c r="X262" s="18">
        <f>IF($E262="","",IF(AND($B262&lt;&gt;"",ISNA(MATCH($B262,机构表,0))),"※机构不在【资料】里",IF(AND($D262&lt;&gt;"",ISNA(MATCH($D262,状态表,0))),"※状态不在【资料】里",IF(N($M262)&gt;N($L262),"※已还本金大于典当金额",IF(AND($I262&lt;&gt;"",$J262&lt;&gt;"",$J262&lt;$I262),"※到期日早于当票日期",IF(AND($H262&lt;&gt;"",COUNTIF($H$4:$H$403,$H262)&gt;1),"※当票号在本表里出现了不止一次",IF(AND($L262&lt;&gt;"",$E262=""),"※有金额没写客户","")))))))</f>
        <v/>
      </c>
    </row>
    <row r="263">
      <c r="A263" s="18">
        <f>IF($E263="","",COUNTA($E$4:$E263))</f>
        <v/>
      </c>
      <c r="B263" s="12" t="n"/>
      <c r="C263" s="12" t="n"/>
      <c r="D263" s="12" t="n"/>
      <c r="E263" s="12" t="n"/>
      <c r="F263" s="12" t="n"/>
      <c r="G263" s="12" t="n"/>
      <c r="H263" s="12" t="n"/>
      <c r="I263" s="19" t="n"/>
      <c r="J263" s="19" t="n"/>
      <c r="K263" s="19" t="n"/>
      <c r="L263" s="20" t="n"/>
      <c r="M263" s="20" t="n"/>
      <c r="N263" s="22">
        <f>IF($E263="","",ROUND(N($L263)-N($M263),2))</f>
        <v/>
      </c>
      <c r="O263" s="21" t="n"/>
      <c r="P263" s="20" t="n"/>
      <c r="Q263" s="12" t="n"/>
      <c r="R263" s="19" t="n"/>
      <c r="S263" s="20" t="n"/>
      <c r="T263" s="20" t="n"/>
      <c r="U263" s="20" t="n"/>
      <c r="V263" s="12" t="n"/>
      <c r="W263" s="12" t="n"/>
      <c r="X263" s="18">
        <f>IF($E263="","",IF(AND($B263&lt;&gt;"",ISNA(MATCH($B263,机构表,0))),"※机构不在【资料】里",IF(AND($D263&lt;&gt;"",ISNA(MATCH($D263,状态表,0))),"※状态不在【资料】里",IF(N($M263)&gt;N($L263),"※已还本金大于典当金额",IF(AND($I263&lt;&gt;"",$J263&lt;&gt;"",$J263&lt;$I263),"※到期日早于当票日期",IF(AND($H263&lt;&gt;"",COUNTIF($H$4:$H$403,$H263)&gt;1),"※当票号在本表里出现了不止一次",IF(AND($L263&lt;&gt;"",$E263=""),"※有金额没写客户","")))))))</f>
        <v/>
      </c>
    </row>
    <row r="264">
      <c r="A264" s="18">
        <f>IF($E264="","",COUNTA($E$4:$E264))</f>
        <v/>
      </c>
      <c r="B264" s="12" t="n"/>
      <c r="C264" s="12" t="n"/>
      <c r="D264" s="12" t="n"/>
      <c r="E264" s="12" t="n"/>
      <c r="F264" s="12" t="n"/>
      <c r="G264" s="12" t="n"/>
      <c r="H264" s="12" t="n"/>
      <c r="I264" s="19" t="n"/>
      <c r="J264" s="19" t="n"/>
      <c r="K264" s="19" t="n"/>
      <c r="L264" s="20" t="n"/>
      <c r="M264" s="20" t="n"/>
      <c r="N264" s="22">
        <f>IF($E264="","",ROUND(N($L264)-N($M264),2))</f>
        <v/>
      </c>
      <c r="O264" s="21" t="n"/>
      <c r="P264" s="20" t="n"/>
      <c r="Q264" s="12" t="n"/>
      <c r="R264" s="19" t="n"/>
      <c r="S264" s="20" t="n"/>
      <c r="T264" s="20" t="n"/>
      <c r="U264" s="20" t="n"/>
      <c r="V264" s="12" t="n"/>
      <c r="W264" s="12" t="n"/>
      <c r="X264" s="18">
        <f>IF($E264="","",IF(AND($B264&lt;&gt;"",ISNA(MATCH($B264,机构表,0))),"※机构不在【资料】里",IF(AND($D264&lt;&gt;"",ISNA(MATCH($D264,状态表,0))),"※状态不在【资料】里",IF(N($M264)&gt;N($L264),"※已还本金大于典当金额",IF(AND($I264&lt;&gt;"",$J264&lt;&gt;"",$J264&lt;$I264),"※到期日早于当票日期",IF(AND($H264&lt;&gt;"",COUNTIF($H$4:$H$403,$H264)&gt;1),"※当票号在本表里出现了不止一次",IF(AND($L264&lt;&gt;"",$E264=""),"※有金额没写客户","")))))))</f>
        <v/>
      </c>
    </row>
    <row r="265">
      <c r="A265" s="18">
        <f>IF($E265="","",COUNTA($E$4:$E265))</f>
        <v/>
      </c>
      <c r="B265" s="12" t="n"/>
      <c r="C265" s="12" t="n"/>
      <c r="D265" s="12" t="n"/>
      <c r="E265" s="12" t="n"/>
      <c r="F265" s="12" t="n"/>
      <c r="G265" s="12" t="n"/>
      <c r="H265" s="12" t="n"/>
      <c r="I265" s="19" t="n"/>
      <c r="J265" s="19" t="n"/>
      <c r="K265" s="19" t="n"/>
      <c r="L265" s="20" t="n"/>
      <c r="M265" s="20" t="n"/>
      <c r="N265" s="22">
        <f>IF($E265="","",ROUND(N($L265)-N($M265),2))</f>
        <v/>
      </c>
      <c r="O265" s="21" t="n"/>
      <c r="P265" s="20" t="n"/>
      <c r="Q265" s="12" t="n"/>
      <c r="R265" s="19" t="n"/>
      <c r="S265" s="20" t="n"/>
      <c r="T265" s="20" t="n"/>
      <c r="U265" s="20" t="n"/>
      <c r="V265" s="12" t="n"/>
      <c r="W265" s="12" t="n"/>
      <c r="X265" s="18">
        <f>IF($E265="","",IF(AND($B265&lt;&gt;"",ISNA(MATCH($B265,机构表,0))),"※机构不在【资料】里",IF(AND($D265&lt;&gt;"",ISNA(MATCH($D265,状态表,0))),"※状态不在【资料】里",IF(N($M265)&gt;N($L265),"※已还本金大于典当金额",IF(AND($I265&lt;&gt;"",$J265&lt;&gt;"",$J265&lt;$I265),"※到期日早于当票日期",IF(AND($H265&lt;&gt;"",COUNTIF($H$4:$H$403,$H265)&gt;1),"※当票号在本表里出现了不止一次",IF(AND($L265&lt;&gt;"",$E265=""),"※有金额没写客户","")))))))</f>
        <v/>
      </c>
    </row>
    <row r="266">
      <c r="A266" s="18">
        <f>IF($E266="","",COUNTA($E$4:$E266))</f>
        <v/>
      </c>
      <c r="B266" s="12" t="n"/>
      <c r="C266" s="12" t="n"/>
      <c r="D266" s="12" t="n"/>
      <c r="E266" s="12" t="n"/>
      <c r="F266" s="12" t="n"/>
      <c r="G266" s="12" t="n"/>
      <c r="H266" s="12" t="n"/>
      <c r="I266" s="19" t="n"/>
      <c r="J266" s="19" t="n"/>
      <c r="K266" s="19" t="n"/>
      <c r="L266" s="20" t="n"/>
      <c r="M266" s="20" t="n"/>
      <c r="N266" s="22">
        <f>IF($E266="","",ROUND(N($L266)-N($M266),2))</f>
        <v/>
      </c>
      <c r="O266" s="21" t="n"/>
      <c r="P266" s="20" t="n"/>
      <c r="Q266" s="12" t="n"/>
      <c r="R266" s="19" t="n"/>
      <c r="S266" s="20" t="n"/>
      <c r="T266" s="20" t="n"/>
      <c r="U266" s="20" t="n"/>
      <c r="V266" s="12" t="n"/>
      <c r="W266" s="12" t="n"/>
      <c r="X266" s="18">
        <f>IF($E266="","",IF(AND($B266&lt;&gt;"",ISNA(MATCH($B266,机构表,0))),"※机构不在【资料】里",IF(AND($D266&lt;&gt;"",ISNA(MATCH($D266,状态表,0))),"※状态不在【资料】里",IF(N($M266)&gt;N($L266),"※已还本金大于典当金额",IF(AND($I266&lt;&gt;"",$J266&lt;&gt;"",$J266&lt;$I266),"※到期日早于当票日期",IF(AND($H266&lt;&gt;"",COUNTIF($H$4:$H$403,$H266)&gt;1),"※当票号在本表里出现了不止一次",IF(AND($L266&lt;&gt;"",$E266=""),"※有金额没写客户","")))))))</f>
        <v/>
      </c>
    </row>
    <row r="267">
      <c r="A267" s="18">
        <f>IF($E267="","",COUNTA($E$4:$E267))</f>
        <v/>
      </c>
      <c r="B267" s="12" t="n"/>
      <c r="C267" s="12" t="n"/>
      <c r="D267" s="12" t="n"/>
      <c r="E267" s="12" t="n"/>
      <c r="F267" s="12" t="n"/>
      <c r="G267" s="12" t="n"/>
      <c r="H267" s="12" t="n"/>
      <c r="I267" s="19" t="n"/>
      <c r="J267" s="19" t="n"/>
      <c r="K267" s="19" t="n"/>
      <c r="L267" s="20" t="n"/>
      <c r="M267" s="20" t="n"/>
      <c r="N267" s="22">
        <f>IF($E267="","",ROUND(N($L267)-N($M267),2))</f>
        <v/>
      </c>
      <c r="O267" s="21" t="n"/>
      <c r="P267" s="20" t="n"/>
      <c r="Q267" s="12" t="n"/>
      <c r="R267" s="19" t="n"/>
      <c r="S267" s="20" t="n"/>
      <c r="T267" s="20" t="n"/>
      <c r="U267" s="20" t="n"/>
      <c r="V267" s="12" t="n"/>
      <c r="W267" s="12" t="n"/>
      <c r="X267" s="18">
        <f>IF($E267="","",IF(AND($B267&lt;&gt;"",ISNA(MATCH($B267,机构表,0))),"※机构不在【资料】里",IF(AND($D267&lt;&gt;"",ISNA(MATCH($D267,状态表,0))),"※状态不在【资料】里",IF(N($M267)&gt;N($L267),"※已还本金大于典当金额",IF(AND($I267&lt;&gt;"",$J267&lt;&gt;"",$J267&lt;$I267),"※到期日早于当票日期",IF(AND($H267&lt;&gt;"",COUNTIF($H$4:$H$403,$H267)&gt;1),"※当票号在本表里出现了不止一次",IF(AND($L267&lt;&gt;"",$E267=""),"※有金额没写客户","")))))))</f>
        <v/>
      </c>
    </row>
    <row r="268">
      <c r="A268" s="18">
        <f>IF($E268="","",COUNTA($E$4:$E268))</f>
        <v/>
      </c>
      <c r="B268" s="12" t="n"/>
      <c r="C268" s="12" t="n"/>
      <c r="D268" s="12" t="n"/>
      <c r="E268" s="12" t="n"/>
      <c r="F268" s="12" t="n"/>
      <c r="G268" s="12" t="n"/>
      <c r="H268" s="12" t="n"/>
      <c r="I268" s="19" t="n"/>
      <c r="J268" s="19" t="n"/>
      <c r="K268" s="19" t="n"/>
      <c r="L268" s="20" t="n"/>
      <c r="M268" s="20" t="n"/>
      <c r="N268" s="22">
        <f>IF($E268="","",ROUND(N($L268)-N($M268),2))</f>
        <v/>
      </c>
      <c r="O268" s="21" t="n"/>
      <c r="P268" s="20" t="n"/>
      <c r="Q268" s="12" t="n"/>
      <c r="R268" s="19" t="n"/>
      <c r="S268" s="20" t="n"/>
      <c r="T268" s="20" t="n"/>
      <c r="U268" s="20" t="n"/>
      <c r="V268" s="12" t="n"/>
      <c r="W268" s="12" t="n"/>
      <c r="X268" s="18">
        <f>IF($E268="","",IF(AND($B268&lt;&gt;"",ISNA(MATCH($B268,机构表,0))),"※机构不在【资料】里",IF(AND($D268&lt;&gt;"",ISNA(MATCH($D268,状态表,0))),"※状态不在【资料】里",IF(N($M268)&gt;N($L268),"※已还本金大于典当金额",IF(AND($I268&lt;&gt;"",$J268&lt;&gt;"",$J268&lt;$I268),"※到期日早于当票日期",IF(AND($H268&lt;&gt;"",COUNTIF($H$4:$H$403,$H268)&gt;1),"※当票号在本表里出现了不止一次",IF(AND($L268&lt;&gt;"",$E268=""),"※有金额没写客户","")))))))</f>
        <v/>
      </c>
    </row>
    <row r="269">
      <c r="A269" s="18">
        <f>IF($E269="","",COUNTA($E$4:$E269))</f>
        <v/>
      </c>
      <c r="B269" s="12" t="n"/>
      <c r="C269" s="12" t="n"/>
      <c r="D269" s="12" t="n"/>
      <c r="E269" s="12" t="n"/>
      <c r="F269" s="12" t="n"/>
      <c r="G269" s="12" t="n"/>
      <c r="H269" s="12" t="n"/>
      <c r="I269" s="19" t="n"/>
      <c r="J269" s="19" t="n"/>
      <c r="K269" s="19" t="n"/>
      <c r="L269" s="20" t="n"/>
      <c r="M269" s="20" t="n"/>
      <c r="N269" s="22">
        <f>IF($E269="","",ROUND(N($L269)-N($M269),2))</f>
        <v/>
      </c>
      <c r="O269" s="21" t="n"/>
      <c r="P269" s="20" t="n"/>
      <c r="Q269" s="12" t="n"/>
      <c r="R269" s="19" t="n"/>
      <c r="S269" s="20" t="n"/>
      <c r="T269" s="20" t="n"/>
      <c r="U269" s="20" t="n"/>
      <c r="V269" s="12" t="n"/>
      <c r="W269" s="12" t="n"/>
      <c r="X269" s="18">
        <f>IF($E269="","",IF(AND($B269&lt;&gt;"",ISNA(MATCH($B269,机构表,0))),"※机构不在【资料】里",IF(AND($D269&lt;&gt;"",ISNA(MATCH($D269,状态表,0))),"※状态不在【资料】里",IF(N($M269)&gt;N($L269),"※已还本金大于典当金额",IF(AND($I269&lt;&gt;"",$J269&lt;&gt;"",$J269&lt;$I269),"※到期日早于当票日期",IF(AND($H269&lt;&gt;"",COUNTIF($H$4:$H$403,$H269)&gt;1),"※当票号在本表里出现了不止一次",IF(AND($L269&lt;&gt;"",$E269=""),"※有金额没写客户","")))))))</f>
        <v/>
      </c>
    </row>
    <row r="270">
      <c r="A270" s="18">
        <f>IF($E270="","",COUNTA($E$4:$E270))</f>
        <v/>
      </c>
      <c r="B270" s="12" t="n"/>
      <c r="C270" s="12" t="n"/>
      <c r="D270" s="12" t="n"/>
      <c r="E270" s="12" t="n"/>
      <c r="F270" s="12" t="n"/>
      <c r="G270" s="12" t="n"/>
      <c r="H270" s="12" t="n"/>
      <c r="I270" s="19" t="n"/>
      <c r="J270" s="19" t="n"/>
      <c r="K270" s="19" t="n"/>
      <c r="L270" s="20" t="n"/>
      <c r="M270" s="20" t="n"/>
      <c r="N270" s="22">
        <f>IF($E270="","",ROUND(N($L270)-N($M270),2))</f>
        <v/>
      </c>
      <c r="O270" s="21" t="n"/>
      <c r="P270" s="20" t="n"/>
      <c r="Q270" s="12" t="n"/>
      <c r="R270" s="19" t="n"/>
      <c r="S270" s="20" t="n"/>
      <c r="T270" s="20" t="n"/>
      <c r="U270" s="20" t="n"/>
      <c r="V270" s="12" t="n"/>
      <c r="W270" s="12" t="n"/>
      <c r="X270" s="18">
        <f>IF($E270="","",IF(AND($B270&lt;&gt;"",ISNA(MATCH($B270,机构表,0))),"※机构不在【资料】里",IF(AND($D270&lt;&gt;"",ISNA(MATCH($D270,状态表,0))),"※状态不在【资料】里",IF(N($M270)&gt;N($L270),"※已还本金大于典当金额",IF(AND($I270&lt;&gt;"",$J270&lt;&gt;"",$J270&lt;$I270),"※到期日早于当票日期",IF(AND($H270&lt;&gt;"",COUNTIF($H$4:$H$403,$H270)&gt;1),"※当票号在本表里出现了不止一次",IF(AND($L270&lt;&gt;"",$E270=""),"※有金额没写客户","")))))))</f>
        <v/>
      </c>
    </row>
    <row r="271">
      <c r="A271" s="18">
        <f>IF($E271="","",COUNTA($E$4:$E271))</f>
        <v/>
      </c>
      <c r="B271" s="12" t="n"/>
      <c r="C271" s="12" t="n"/>
      <c r="D271" s="12" t="n"/>
      <c r="E271" s="12" t="n"/>
      <c r="F271" s="12" t="n"/>
      <c r="G271" s="12" t="n"/>
      <c r="H271" s="12" t="n"/>
      <c r="I271" s="19" t="n"/>
      <c r="J271" s="19" t="n"/>
      <c r="K271" s="19" t="n"/>
      <c r="L271" s="20" t="n"/>
      <c r="M271" s="20" t="n"/>
      <c r="N271" s="22">
        <f>IF($E271="","",ROUND(N($L271)-N($M271),2))</f>
        <v/>
      </c>
      <c r="O271" s="21" t="n"/>
      <c r="P271" s="20" t="n"/>
      <c r="Q271" s="12" t="n"/>
      <c r="R271" s="19" t="n"/>
      <c r="S271" s="20" t="n"/>
      <c r="T271" s="20" t="n"/>
      <c r="U271" s="20" t="n"/>
      <c r="V271" s="12" t="n"/>
      <c r="W271" s="12" t="n"/>
      <c r="X271" s="18">
        <f>IF($E271="","",IF(AND($B271&lt;&gt;"",ISNA(MATCH($B271,机构表,0))),"※机构不在【资料】里",IF(AND($D271&lt;&gt;"",ISNA(MATCH($D271,状态表,0))),"※状态不在【资料】里",IF(N($M271)&gt;N($L271),"※已还本金大于典当金额",IF(AND($I271&lt;&gt;"",$J271&lt;&gt;"",$J271&lt;$I271),"※到期日早于当票日期",IF(AND($H271&lt;&gt;"",COUNTIF($H$4:$H$403,$H271)&gt;1),"※当票号在本表里出现了不止一次",IF(AND($L271&lt;&gt;"",$E271=""),"※有金额没写客户","")))))))</f>
        <v/>
      </c>
    </row>
    <row r="272">
      <c r="A272" s="18">
        <f>IF($E272="","",COUNTA($E$4:$E272))</f>
        <v/>
      </c>
      <c r="B272" s="12" t="n"/>
      <c r="C272" s="12" t="n"/>
      <c r="D272" s="12" t="n"/>
      <c r="E272" s="12" t="n"/>
      <c r="F272" s="12" t="n"/>
      <c r="G272" s="12" t="n"/>
      <c r="H272" s="12" t="n"/>
      <c r="I272" s="19" t="n"/>
      <c r="J272" s="19" t="n"/>
      <c r="K272" s="19" t="n"/>
      <c r="L272" s="20" t="n"/>
      <c r="M272" s="20" t="n"/>
      <c r="N272" s="22">
        <f>IF($E272="","",ROUND(N($L272)-N($M272),2))</f>
        <v/>
      </c>
      <c r="O272" s="21" t="n"/>
      <c r="P272" s="20" t="n"/>
      <c r="Q272" s="12" t="n"/>
      <c r="R272" s="19" t="n"/>
      <c r="S272" s="20" t="n"/>
      <c r="T272" s="20" t="n"/>
      <c r="U272" s="20" t="n"/>
      <c r="V272" s="12" t="n"/>
      <c r="W272" s="12" t="n"/>
      <c r="X272" s="18">
        <f>IF($E272="","",IF(AND($B272&lt;&gt;"",ISNA(MATCH($B272,机构表,0))),"※机构不在【资料】里",IF(AND($D272&lt;&gt;"",ISNA(MATCH($D272,状态表,0))),"※状态不在【资料】里",IF(N($M272)&gt;N($L272),"※已还本金大于典当金额",IF(AND($I272&lt;&gt;"",$J272&lt;&gt;"",$J272&lt;$I272),"※到期日早于当票日期",IF(AND($H272&lt;&gt;"",COUNTIF($H$4:$H$403,$H272)&gt;1),"※当票号在本表里出现了不止一次",IF(AND($L272&lt;&gt;"",$E272=""),"※有金额没写客户","")))))))</f>
        <v/>
      </c>
    </row>
    <row r="273">
      <c r="A273" s="18">
        <f>IF($E273="","",COUNTA($E$4:$E273))</f>
        <v/>
      </c>
      <c r="B273" s="12" t="n"/>
      <c r="C273" s="12" t="n"/>
      <c r="D273" s="12" t="n"/>
      <c r="E273" s="12" t="n"/>
      <c r="F273" s="12" t="n"/>
      <c r="G273" s="12" t="n"/>
      <c r="H273" s="12" t="n"/>
      <c r="I273" s="19" t="n"/>
      <c r="J273" s="19" t="n"/>
      <c r="K273" s="19" t="n"/>
      <c r="L273" s="20" t="n"/>
      <c r="M273" s="20" t="n"/>
      <c r="N273" s="22">
        <f>IF($E273="","",ROUND(N($L273)-N($M273),2))</f>
        <v/>
      </c>
      <c r="O273" s="21" t="n"/>
      <c r="P273" s="20" t="n"/>
      <c r="Q273" s="12" t="n"/>
      <c r="R273" s="19" t="n"/>
      <c r="S273" s="20" t="n"/>
      <c r="T273" s="20" t="n"/>
      <c r="U273" s="20" t="n"/>
      <c r="V273" s="12" t="n"/>
      <c r="W273" s="12" t="n"/>
      <c r="X273" s="18">
        <f>IF($E273="","",IF(AND($B273&lt;&gt;"",ISNA(MATCH($B273,机构表,0))),"※机构不在【资料】里",IF(AND($D273&lt;&gt;"",ISNA(MATCH($D273,状态表,0))),"※状态不在【资料】里",IF(N($M273)&gt;N($L273),"※已还本金大于典当金额",IF(AND($I273&lt;&gt;"",$J273&lt;&gt;"",$J273&lt;$I273),"※到期日早于当票日期",IF(AND($H273&lt;&gt;"",COUNTIF($H$4:$H$403,$H273)&gt;1),"※当票号在本表里出现了不止一次",IF(AND($L273&lt;&gt;"",$E273=""),"※有金额没写客户","")))))))</f>
        <v/>
      </c>
    </row>
    <row r="274">
      <c r="A274" s="18">
        <f>IF($E274="","",COUNTA($E$4:$E274))</f>
        <v/>
      </c>
      <c r="B274" s="12" t="n"/>
      <c r="C274" s="12" t="n"/>
      <c r="D274" s="12" t="n"/>
      <c r="E274" s="12" t="n"/>
      <c r="F274" s="12" t="n"/>
      <c r="G274" s="12" t="n"/>
      <c r="H274" s="12" t="n"/>
      <c r="I274" s="19" t="n"/>
      <c r="J274" s="19" t="n"/>
      <c r="K274" s="19" t="n"/>
      <c r="L274" s="20" t="n"/>
      <c r="M274" s="20" t="n"/>
      <c r="N274" s="22">
        <f>IF($E274="","",ROUND(N($L274)-N($M274),2))</f>
        <v/>
      </c>
      <c r="O274" s="21" t="n"/>
      <c r="P274" s="20" t="n"/>
      <c r="Q274" s="12" t="n"/>
      <c r="R274" s="19" t="n"/>
      <c r="S274" s="20" t="n"/>
      <c r="T274" s="20" t="n"/>
      <c r="U274" s="20" t="n"/>
      <c r="V274" s="12" t="n"/>
      <c r="W274" s="12" t="n"/>
      <c r="X274" s="18">
        <f>IF($E274="","",IF(AND($B274&lt;&gt;"",ISNA(MATCH($B274,机构表,0))),"※机构不在【资料】里",IF(AND($D274&lt;&gt;"",ISNA(MATCH($D274,状态表,0))),"※状态不在【资料】里",IF(N($M274)&gt;N($L274),"※已还本金大于典当金额",IF(AND($I274&lt;&gt;"",$J274&lt;&gt;"",$J274&lt;$I274),"※到期日早于当票日期",IF(AND($H274&lt;&gt;"",COUNTIF($H$4:$H$403,$H274)&gt;1),"※当票号在本表里出现了不止一次",IF(AND($L274&lt;&gt;"",$E274=""),"※有金额没写客户","")))))))</f>
        <v/>
      </c>
    </row>
    <row r="275">
      <c r="A275" s="18">
        <f>IF($E275="","",COUNTA($E$4:$E275))</f>
        <v/>
      </c>
      <c r="B275" s="12" t="n"/>
      <c r="C275" s="12" t="n"/>
      <c r="D275" s="12" t="n"/>
      <c r="E275" s="12" t="n"/>
      <c r="F275" s="12" t="n"/>
      <c r="G275" s="12" t="n"/>
      <c r="H275" s="12" t="n"/>
      <c r="I275" s="19" t="n"/>
      <c r="J275" s="19" t="n"/>
      <c r="K275" s="19" t="n"/>
      <c r="L275" s="20" t="n"/>
      <c r="M275" s="20" t="n"/>
      <c r="N275" s="22">
        <f>IF($E275="","",ROUND(N($L275)-N($M275),2))</f>
        <v/>
      </c>
      <c r="O275" s="21" t="n"/>
      <c r="P275" s="20" t="n"/>
      <c r="Q275" s="12" t="n"/>
      <c r="R275" s="19" t="n"/>
      <c r="S275" s="20" t="n"/>
      <c r="T275" s="20" t="n"/>
      <c r="U275" s="20" t="n"/>
      <c r="V275" s="12" t="n"/>
      <c r="W275" s="12" t="n"/>
      <c r="X275" s="18">
        <f>IF($E275="","",IF(AND($B275&lt;&gt;"",ISNA(MATCH($B275,机构表,0))),"※机构不在【资料】里",IF(AND($D275&lt;&gt;"",ISNA(MATCH($D275,状态表,0))),"※状态不在【资料】里",IF(N($M275)&gt;N($L275),"※已还本金大于典当金额",IF(AND($I275&lt;&gt;"",$J275&lt;&gt;"",$J275&lt;$I275),"※到期日早于当票日期",IF(AND($H275&lt;&gt;"",COUNTIF($H$4:$H$403,$H275)&gt;1),"※当票号在本表里出现了不止一次",IF(AND($L275&lt;&gt;"",$E275=""),"※有金额没写客户","")))))))</f>
        <v/>
      </c>
    </row>
    <row r="276">
      <c r="A276" s="18">
        <f>IF($E276="","",COUNTA($E$4:$E276))</f>
        <v/>
      </c>
      <c r="B276" s="12" t="n"/>
      <c r="C276" s="12" t="n"/>
      <c r="D276" s="12" t="n"/>
      <c r="E276" s="12" t="n"/>
      <c r="F276" s="12" t="n"/>
      <c r="G276" s="12" t="n"/>
      <c r="H276" s="12" t="n"/>
      <c r="I276" s="19" t="n"/>
      <c r="J276" s="19" t="n"/>
      <c r="K276" s="19" t="n"/>
      <c r="L276" s="20" t="n"/>
      <c r="M276" s="20" t="n"/>
      <c r="N276" s="22">
        <f>IF($E276="","",ROUND(N($L276)-N($M276),2))</f>
        <v/>
      </c>
      <c r="O276" s="21" t="n"/>
      <c r="P276" s="20" t="n"/>
      <c r="Q276" s="12" t="n"/>
      <c r="R276" s="19" t="n"/>
      <c r="S276" s="20" t="n"/>
      <c r="T276" s="20" t="n"/>
      <c r="U276" s="20" t="n"/>
      <c r="V276" s="12" t="n"/>
      <c r="W276" s="12" t="n"/>
      <c r="X276" s="18">
        <f>IF($E276="","",IF(AND($B276&lt;&gt;"",ISNA(MATCH($B276,机构表,0))),"※机构不在【资料】里",IF(AND($D276&lt;&gt;"",ISNA(MATCH($D276,状态表,0))),"※状态不在【资料】里",IF(N($M276)&gt;N($L276),"※已还本金大于典当金额",IF(AND($I276&lt;&gt;"",$J276&lt;&gt;"",$J276&lt;$I276),"※到期日早于当票日期",IF(AND($H276&lt;&gt;"",COUNTIF($H$4:$H$403,$H276)&gt;1),"※当票号在本表里出现了不止一次",IF(AND($L276&lt;&gt;"",$E276=""),"※有金额没写客户","")))))))</f>
        <v/>
      </c>
    </row>
    <row r="277">
      <c r="A277" s="18">
        <f>IF($E277="","",COUNTA($E$4:$E277))</f>
        <v/>
      </c>
      <c r="B277" s="12" t="n"/>
      <c r="C277" s="12" t="n"/>
      <c r="D277" s="12" t="n"/>
      <c r="E277" s="12" t="n"/>
      <c r="F277" s="12" t="n"/>
      <c r="G277" s="12" t="n"/>
      <c r="H277" s="12" t="n"/>
      <c r="I277" s="19" t="n"/>
      <c r="J277" s="19" t="n"/>
      <c r="K277" s="19" t="n"/>
      <c r="L277" s="20" t="n"/>
      <c r="M277" s="20" t="n"/>
      <c r="N277" s="22">
        <f>IF($E277="","",ROUND(N($L277)-N($M277),2))</f>
        <v/>
      </c>
      <c r="O277" s="21" t="n"/>
      <c r="P277" s="20" t="n"/>
      <c r="Q277" s="12" t="n"/>
      <c r="R277" s="19" t="n"/>
      <c r="S277" s="20" t="n"/>
      <c r="T277" s="20" t="n"/>
      <c r="U277" s="20" t="n"/>
      <c r="V277" s="12" t="n"/>
      <c r="W277" s="12" t="n"/>
      <c r="X277" s="18">
        <f>IF($E277="","",IF(AND($B277&lt;&gt;"",ISNA(MATCH($B277,机构表,0))),"※机构不在【资料】里",IF(AND($D277&lt;&gt;"",ISNA(MATCH($D277,状态表,0))),"※状态不在【资料】里",IF(N($M277)&gt;N($L277),"※已还本金大于典当金额",IF(AND($I277&lt;&gt;"",$J277&lt;&gt;"",$J277&lt;$I277),"※到期日早于当票日期",IF(AND($H277&lt;&gt;"",COUNTIF($H$4:$H$403,$H277)&gt;1),"※当票号在本表里出现了不止一次",IF(AND($L277&lt;&gt;"",$E277=""),"※有金额没写客户","")))))))</f>
        <v/>
      </c>
    </row>
    <row r="278">
      <c r="A278" s="18">
        <f>IF($E278="","",COUNTA($E$4:$E278))</f>
        <v/>
      </c>
      <c r="B278" s="12" t="n"/>
      <c r="C278" s="12" t="n"/>
      <c r="D278" s="12" t="n"/>
      <c r="E278" s="12" t="n"/>
      <c r="F278" s="12" t="n"/>
      <c r="G278" s="12" t="n"/>
      <c r="H278" s="12" t="n"/>
      <c r="I278" s="19" t="n"/>
      <c r="J278" s="19" t="n"/>
      <c r="K278" s="19" t="n"/>
      <c r="L278" s="20" t="n"/>
      <c r="M278" s="20" t="n"/>
      <c r="N278" s="22">
        <f>IF($E278="","",ROUND(N($L278)-N($M278),2))</f>
        <v/>
      </c>
      <c r="O278" s="21" t="n"/>
      <c r="P278" s="20" t="n"/>
      <c r="Q278" s="12" t="n"/>
      <c r="R278" s="19" t="n"/>
      <c r="S278" s="20" t="n"/>
      <c r="T278" s="20" t="n"/>
      <c r="U278" s="20" t="n"/>
      <c r="V278" s="12" t="n"/>
      <c r="W278" s="12" t="n"/>
      <c r="X278" s="18">
        <f>IF($E278="","",IF(AND($B278&lt;&gt;"",ISNA(MATCH($B278,机构表,0))),"※机构不在【资料】里",IF(AND($D278&lt;&gt;"",ISNA(MATCH($D278,状态表,0))),"※状态不在【资料】里",IF(N($M278)&gt;N($L278),"※已还本金大于典当金额",IF(AND($I278&lt;&gt;"",$J278&lt;&gt;"",$J278&lt;$I278),"※到期日早于当票日期",IF(AND($H278&lt;&gt;"",COUNTIF($H$4:$H$403,$H278)&gt;1),"※当票号在本表里出现了不止一次",IF(AND($L278&lt;&gt;"",$E278=""),"※有金额没写客户","")))))))</f>
        <v/>
      </c>
    </row>
    <row r="279">
      <c r="A279" s="18">
        <f>IF($E279="","",COUNTA($E$4:$E279))</f>
        <v/>
      </c>
      <c r="B279" s="12" t="n"/>
      <c r="C279" s="12" t="n"/>
      <c r="D279" s="12" t="n"/>
      <c r="E279" s="12" t="n"/>
      <c r="F279" s="12" t="n"/>
      <c r="G279" s="12" t="n"/>
      <c r="H279" s="12" t="n"/>
      <c r="I279" s="19" t="n"/>
      <c r="J279" s="19" t="n"/>
      <c r="K279" s="19" t="n"/>
      <c r="L279" s="20" t="n"/>
      <c r="M279" s="20" t="n"/>
      <c r="N279" s="22">
        <f>IF($E279="","",ROUND(N($L279)-N($M279),2))</f>
        <v/>
      </c>
      <c r="O279" s="21" t="n"/>
      <c r="P279" s="20" t="n"/>
      <c r="Q279" s="12" t="n"/>
      <c r="R279" s="19" t="n"/>
      <c r="S279" s="20" t="n"/>
      <c r="T279" s="20" t="n"/>
      <c r="U279" s="20" t="n"/>
      <c r="V279" s="12" t="n"/>
      <c r="W279" s="12" t="n"/>
      <c r="X279" s="18">
        <f>IF($E279="","",IF(AND($B279&lt;&gt;"",ISNA(MATCH($B279,机构表,0))),"※机构不在【资料】里",IF(AND($D279&lt;&gt;"",ISNA(MATCH($D279,状态表,0))),"※状态不在【资料】里",IF(N($M279)&gt;N($L279),"※已还本金大于典当金额",IF(AND($I279&lt;&gt;"",$J279&lt;&gt;"",$J279&lt;$I279),"※到期日早于当票日期",IF(AND($H279&lt;&gt;"",COUNTIF($H$4:$H$403,$H279)&gt;1),"※当票号在本表里出现了不止一次",IF(AND($L279&lt;&gt;"",$E279=""),"※有金额没写客户","")))))))</f>
        <v/>
      </c>
    </row>
    <row r="280">
      <c r="A280" s="18">
        <f>IF($E280="","",COUNTA($E$4:$E280))</f>
        <v/>
      </c>
      <c r="B280" s="12" t="n"/>
      <c r="C280" s="12" t="n"/>
      <c r="D280" s="12" t="n"/>
      <c r="E280" s="12" t="n"/>
      <c r="F280" s="12" t="n"/>
      <c r="G280" s="12" t="n"/>
      <c r="H280" s="12" t="n"/>
      <c r="I280" s="19" t="n"/>
      <c r="J280" s="19" t="n"/>
      <c r="K280" s="19" t="n"/>
      <c r="L280" s="20" t="n"/>
      <c r="M280" s="20" t="n"/>
      <c r="N280" s="22">
        <f>IF($E280="","",ROUND(N($L280)-N($M280),2))</f>
        <v/>
      </c>
      <c r="O280" s="21" t="n"/>
      <c r="P280" s="20" t="n"/>
      <c r="Q280" s="12" t="n"/>
      <c r="R280" s="19" t="n"/>
      <c r="S280" s="20" t="n"/>
      <c r="T280" s="20" t="n"/>
      <c r="U280" s="20" t="n"/>
      <c r="V280" s="12" t="n"/>
      <c r="W280" s="12" t="n"/>
      <c r="X280" s="18">
        <f>IF($E280="","",IF(AND($B280&lt;&gt;"",ISNA(MATCH($B280,机构表,0))),"※机构不在【资料】里",IF(AND($D280&lt;&gt;"",ISNA(MATCH($D280,状态表,0))),"※状态不在【资料】里",IF(N($M280)&gt;N($L280),"※已还本金大于典当金额",IF(AND($I280&lt;&gt;"",$J280&lt;&gt;"",$J280&lt;$I280),"※到期日早于当票日期",IF(AND($H280&lt;&gt;"",COUNTIF($H$4:$H$403,$H280)&gt;1),"※当票号在本表里出现了不止一次",IF(AND($L280&lt;&gt;"",$E280=""),"※有金额没写客户","")))))))</f>
        <v/>
      </c>
    </row>
    <row r="281">
      <c r="A281" s="18">
        <f>IF($E281="","",COUNTA($E$4:$E281))</f>
        <v/>
      </c>
      <c r="B281" s="12" t="n"/>
      <c r="C281" s="12" t="n"/>
      <c r="D281" s="12" t="n"/>
      <c r="E281" s="12" t="n"/>
      <c r="F281" s="12" t="n"/>
      <c r="G281" s="12" t="n"/>
      <c r="H281" s="12" t="n"/>
      <c r="I281" s="19" t="n"/>
      <c r="J281" s="19" t="n"/>
      <c r="K281" s="19" t="n"/>
      <c r="L281" s="20" t="n"/>
      <c r="M281" s="20" t="n"/>
      <c r="N281" s="22">
        <f>IF($E281="","",ROUND(N($L281)-N($M281),2))</f>
        <v/>
      </c>
      <c r="O281" s="21" t="n"/>
      <c r="P281" s="20" t="n"/>
      <c r="Q281" s="12" t="n"/>
      <c r="R281" s="19" t="n"/>
      <c r="S281" s="20" t="n"/>
      <c r="T281" s="20" t="n"/>
      <c r="U281" s="20" t="n"/>
      <c r="V281" s="12" t="n"/>
      <c r="W281" s="12" t="n"/>
      <c r="X281" s="18">
        <f>IF($E281="","",IF(AND($B281&lt;&gt;"",ISNA(MATCH($B281,机构表,0))),"※机构不在【资料】里",IF(AND($D281&lt;&gt;"",ISNA(MATCH($D281,状态表,0))),"※状态不在【资料】里",IF(N($M281)&gt;N($L281),"※已还本金大于典当金额",IF(AND($I281&lt;&gt;"",$J281&lt;&gt;"",$J281&lt;$I281),"※到期日早于当票日期",IF(AND($H281&lt;&gt;"",COUNTIF($H$4:$H$403,$H281)&gt;1),"※当票号在本表里出现了不止一次",IF(AND($L281&lt;&gt;"",$E281=""),"※有金额没写客户","")))))))</f>
        <v/>
      </c>
    </row>
    <row r="282">
      <c r="A282" s="18">
        <f>IF($E282="","",COUNTA($E$4:$E282))</f>
        <v/>
      </c>
      <c r="B282" s="12" t="n"/>
      <c r="C282" s="12" t="n"/>
      <c r="D282" s="12" t="n"/>
      <c r="E282" s="12" t="n"/>
      <c r="F282" s="12" t="n"/>
      <c r="G282" s="12" t="n"/>
      <c r="H282" s="12" t="n"/>
      <c r="I282" s="19" t="n"/>
      <c r="J282" s="19" t="n"/>
      <c r="K282" s="19" t="n"/>
      <c r="L282" s="20" t="n"/>
      <c r="M282" s="20" t="n"/>
      <c r="N282" s="22">
        <f>IF($E282="","",ROUND(N($L282)-N($M282),2))</f>
        <v/>
      </c>
      <c r="O282" s="21" t="n"/>
      <c r="P282" s="20" t="n"/>
      <c r="Q282" s="12" t="n"/>
      <c r="R282" s="19" t="n"/>
      <c r="S282" s="20" t="n"/>
      <c r="T282" s="20" t="n"/>
      <c r="U282" s="20" t="n"/>
      <c r="V282" s="12" t="n"/>
      <c r="W282" s="12" t="n"/>
      <c r="X282" s="18">
        <f>IF($E282="","",IF(AND($B282&lt;&gt;"",ISNA(MATCH($B282,机构表,0))),"※机构不在【资料】里",IF(AND($D282&lt;&gt;"",ISNA(MATCH($D282,状态表,0))),"※状态不在【资料】里",IF(N($M282)&gt;N($L282),"※已还本金大于典当金额",IF(AND($I282&lt;&gt;"",$J282&lt;&gt;"",$J282&lt;$I282),"※到期日早于当票日期",IF(AND($H282&lt;&gt;"",COUNTIF($H$4:$H$403,$H282)&gt;1),"※当票号在本表里出现了不止一次",IF(AND($L282&lt;&gt;"",$E282=""),"※有金额没写客户","")))))))</f>
        <v/>
      </c>
    </row>
    <row r="283">
      <c r="A283" s="18">
        <f>IF($E283="","",COUNTA($E$4:$E283))</f>
        <v/>
      </c>
      <c r="B283" s="12" t="n"/>
      <c r="C283" s="12" t="n"/>
      <c r="D283" s="12" t="n"/>
      <c r="E283" s="12" t="n"/>
      <c r="F283" s="12" t="n"/>
      <c r="G283" s="12" t="n"/>
      <c r="H283" s="12" t="n"/>
      <c r="I283" s="19" t="n"/>
      <c r="J283" s="19" t="n"/>
      <c r="K283" s="19" t="n"/>
      <c r="L283" s="20" t="n"/>
      <c r="M283" s="20" t="n"/>
      <c r="N283" s="22">
        <f>IF($E283="","",ROUND(N($L283)-N($M283),2))</f>
        <v/>
      </c>
      <c r="O283" s="21" t="n"/>
      <c r="P283" s="20" t="n"/>
      <c r="Q283" s="12" t="n"/>
      <c r="R283" s="19" t="n"/>
      <c r="S283" s="20" t="n"/>
      <c r="T283" s="20" t="n"/>
      <c r="U283" s="20" t="n"/>
      <c r="V283" s="12" t="n"/>
      <c r="W283" s="12" t="n"/>
      <c r="X283" s="18">
        <f>IF($E283="","",IF(AND($B283&lt;&gt;"",ISNA(MATCH($B283,机构表,0))),"※机构不在【资料】里",IF(AND($D283&lt;&gt;"",ISNA(MATCH($D283,状态表,0))),"※状态不在【资料】里",IF(N($M283)&gt;N($L283),"※已还本金大于典当金额",IF(AND($I283&lt;&gt;"",$J283&lt;&gt;"",$J283&lt;$I283),"※到期日早于当票日期",IF(AND($H283&lt;&gt;"",COUNTIF($H$4:$H$403,$H283)&gt;1),"※当票号在本表里出现了不止一次",IF(AND($L283&lt;&gt;"",$E283=""),"※有金额没写客户","")))))))</f>
        <v/>
      </c>
    </row>
    <row r="284">
      <c r="A284" s="18">
        <f>IF($E284="","",COUNTA($E$4:$E284))</f>
        <v/>
      </c>
      <c r="B284" s="12" t="n"/>
      <c r="C284" s="12" t="n"/>
      <c r="D284" s="12" t="n"/>
      <c r="E284" s="12" t="n"/>
      <c r="F284" s="12" t="n"/>
      <c r="G284" s="12" t="n"/>
      <c r="H284" s="12" t="n"/>
      <c r="I284" s="19" t="n"/>
      <c r="J284" s="19" t="n"/>
      <c r="K284" s="19" t="n"/>
      <c r="L284" s="20" t="n"/>
      <c r="M284" s="20" t="n"/>
      <c r="N284" s="22">
        <f>IF($E284="","",ROUND(N($L284)-N($M284),2))</f>
        <v/>
      </c>
      <c r="O284" s="21" t="n"/>
      <c r="P284" s="20" t="n"/>
      <c r="Q284" s="12" t="n"/>
      <c r="R284" s="19" t="n"/>
      <c r="S284" s="20" t="n"/>
      <c r="T284" s="20" t="n"/>
      <c r="U284" s="20" t="n"/>
      <c r="V284" s="12" t="n"/>
      <c r="W284" s="12" t="n"/>
      <c r="X284" s="18">
        <f>IF($E284="","",IF(AND($B284&lt;&gt;"",ISNA(MATCH($B284,机构表,0))),"※机构不在【资料】里",IF(AND($D284&lt;&gt;"",ISNA(MATCH($D284,状态表,0))),"※状态不在【资料】里",IF(N($M284)&gt;N($L284),"※已还本金大于典当金额",IF(AND($I284&lt;&gt;"",$J284&lt;&gt;"",$J284&lt;$I284),"※到期日早于当票日期",IF(AND($H284&lt;&gt;"",COUNTIF($H$4:$H$403,$H284)&gt;1),"※当票号在本表里出现了不止一次",IF(AND($L284&lt;&gt;"",$E284=""),"※有金额没写客户","")))))))</f>
        <v/>
      </c>
    </row>
    <row r="285">
      <c r="A285" s="18">
        <f>IF($E285="","",COUNTA($E$4:$E285))</f>
        <v/>
      </c>
      <c r="B285" s="12" t="n"/>
      <c r="C285" s="12" t="n"/>
      <c r="D285" s="12" t="n"/>
      <c r="E285" s="12" t="n"/>
      <c r="F285" s="12" t="n"/>
      <c r="G285" s="12" t="n"/>
      <c r="H285" s="12" t="n"/>
      <c r="I285" s="19" t="n"/>
      <c r="J285" s="19" t="n"/>
      <c r="K285" s="19" t="n"/>
      <c r="L285" s="20" t="n"/>
      <c r="M285" s="20" t="n"/>
      <c r="N285" s="22">
        <f>IF($E285="","",ROUND(N($L285)-N($M285),2))</f>
        <v/>
      </c>
      <c r="O285" s="21" t="n"/>
      <c r="P285" s="20" t="n"/>
      <c r="Q285" s="12" t="n"/>
      <c r="R285" s="19" t="n"/>
      <c r="S285" s="20" t="n"/>
      <c r="T285" s="20" t="n"/>
      <c r="U285" s="20" t="n"/>
      <c r="V285" s="12" t="n"/>
      <c r="W285" s="12" t="n"/>
      <c r="X285" s="18">
        <f>IF($E285="","",IF(AND($B285&lt;&gt;"",ISNA(MATCH($B285,机构表,0))),"※机构不在【资料】里",IF(AND($D285&lt;&gt;"",ISNA(MATCH($D285,状态表,0))),"※状态不在【资料】里",IF(N($M285)&gt;N($L285),"※已还本金大于典当金额",IF(AND($I285&lt;&gt;"",$J285&lt;&gt;"",$J285&lt;$I285),"※到期日早于当票日期",IF(AND($H285&lt;&gt;"",COUNTIF($H$4:$H$403,$H285)&gt;1),"※当票号在本表里出现了不止一次",IF(AND($L285&lt;&gt;"",$E285=""),"※有金额没写客户","")))))))</f>
        <v/>
      </c>
    </row>
    <row r="286">
      <c r="A286" s="18">
        <f>IF($E286="","",COUNTA($E$4:$E286))</f>
        <v/>
      </c>
      <c r="B286" s="12" t="n"/>
      <c r="C286" s="12" t="n"/>
      <c r="D286" s="12" t="n"/>
      <c r="E286" s="12" t="n"/>
      <c r="F286" s="12" t="n"/>
      <c r="G286" s="12" t="n"/>
      <c r="H286" s="12" t="n"/>
      <c r="I286" s="19" t="n"/>
      <c r="J286" s="19" t="n"/>
      <c r="K286" s="19" t="n"/>
      <c r="L286" s="20" t="n"/>
      <c r="M286" s="20" t="n"/>
      <c r="N286" s="22">
        <f>IF($E286="","",ROUND(N($L286)-N($M286),2))</f>
        <v/>
      </c>
      <c r="O286" s="21" t="n"/>
      <c r="P286" s="20" t="n"/>
      <c r="Q286" s="12" t="n"/>
      <c r="R286" s="19" t="n"/>
      <c r="S286" s="20" t="n"/>
      <c r="T286" s="20" t="n"/>
      <c r="U286" s="20" t="n"/>
      <c r="V286" s="12" t="n"/>
      <c r="W286" s="12" t="n"/>
      <c r="X286" s="18">
        <f>IF($E286="","",IF(AND($B286&lt;&gt;"",ISNA(MATCH($B286,机构表,0))),"※机构不在【资料】里",IF(AND($D286&lt;&gt;"",ISNA(MATCH($D286,状态表,0))),"※状态不在【资料】里",IF(N($M286)&gt;N($L286),"※已还本金大于典当金额",IF(AND($I286&lt;&gt;"",$J286&lt;&gt;"",$J286&lt;$I286),"※到期日早于当票日期",IF(AND($H286&lt;&gt;"",COUNTIF($H$4:$H$403,$H286)&gt;1),"※当票号在本表里出现了不止一次",IF(AND($L286&lt;&gt;"",$E286=""),"※有金额没写客户","")))))))</f>
        <v/>
      </c>
    </row>
    <row r="287">
      <c r="A287" s="18">
        <f>IF($E287="","",COUNTA($E$4:$E287))</f>
        <v/>
      </c>
      <c r="B287" s="12" t="n"/>
      <c r="C287" s="12" t="n"/>
      <c r="D287" s="12" t="n"/>
      <c r="E287" s="12" t="n"/>
      <c r="F287" s="12" t="n"/>
      <c r="G287" s="12" t="n"/>
      <c r="H287" s="12" t="n"/>
      <c r="I287" s="19" t="n"/>
      <c r="J287" s="19" t="n"/>
      <c r="K287" s="19" t="n"/>
      <c r="L287" s="20" t="n"/>
      <c r="M287" s="20" t="n"/>
      <c r="N287" s="22">
        <f>IF($E287="","",ROUND(N($L287)-N($M287),2))</f>
        <v/>
      </c>
      <c r="O287" s="21" t="n"/>
      <c r="P287" s="20" t="n"/>
      <c r="Q287" s="12" t="n"/>
      <c r="R287" s="19" t="n"/>
      <c r="S287" s="20" t="n"/>
      <c r="T287" s="20" t="n"/>
      <c r="U287" s="20" t="n"/>
      <c r="V287" s="12" t="n"/>
      <c r="W287" s="12" t="n"/>
      <c r="X287" s="18">
        <f>IF($E287="","",IF(AND($B287&lt;&gt;"",ISNA(MATCH($B287,机构表,0))),"※机构不在【资料】里",IF(AND($D287&lt;&gt;"",ISNA(MATCH($D287,状态表,0))),"※状态不在【资料】里",IF(N($M287)&gt;N($L287),"※已还本金大于典当金额",IF(AND($I287&lt;&gt;"",$J287&lt;&gt;"",$J287&lt;$I287),"※到期日早于当票日期",IF(AND($H287&lt;&gt;"",COUNTIF($H$4:$H$403,$H287)&gt;1),"※当票号在本表里出现了不止一次",IF(AND($L287&lt;&gt;"",$E287=""),"※有金额没写客户","")))))))</f>
        <v/>
      </c>
    </row>
    <row r="288">
      <c r="A288" s="18">
        <f>IF($E288="","",COUNTA($E$4:$E288))</f>
        <v/>
      </c>
      <c r="B288" s="12" t="n"/>
      <c r="C288" s="12" t="n"/>
      <c r="D288" s="12" t="n"/>
      <c r="E288" s="12" t="n"/>
      <c r="F288" s="12" t="n"/>
      <c r="G288" s="12" t="n"/>
      <c r="H288" s="12" t="n"/>
      <c r="I288" s="19" t="n"/>
      <c r="J288" s="19" t="n"/>
      <c r="K288" s="19" t="n"/>
      <c r="L288" s="20" t="n"/>
      <c r="M288" s="20" t="n"/>
      <c r="N288" s="22">
        <f>IF($E288="","",ROUND(N($L288)-N($M288),2))</f>
        <v/>
      </c>
      <c r="O288" s="21" t="n"/>
      <c r="P288" s="20" t="n"/>
      <c r="Q288" s="12" t="n"/>
      <c r="R288" s="19" t="n"/>
      <c r="S288" s="20" t="n"/>
      <c r="T288" s="20" t="n"/>
      <c r="U288" s="20" t="n"/>
      <c r="V288" s="12" t="n"/>
      <c r="W288" s="12" t="n"/>
      <c r="X288" s="18">
        <f>IF($E288="","",IF(AND($B288&lt;&gt;"",ISNA(MATCH($B288,机构表,0))),"※机构不在【资料】里",IF(AND($D288&lt;&gt;"",ISNA(MATCH($D288,状态表,0))),"※状态不在【资料】里",IF(N($M288)&gt;N($L288),"※已还本金大于典当金额",IF(AND($I288&lt;&gt;"",$J288&lt;&gt;"",$J288&lt;$I288),"※到期日早于当票日期",IF(AND($H288&lt;&gt;"",COUNTIF($H$4:$H$403,$H288)&gt;1),"※当票号在本表里出现了不止一次",IF(AND($L288&lt;&gt;"",$E288=""),"※有金额没写客户","")))))))</f>
        <v/>
      </c>
    </row>
    <row r="289">
      <c r="A289" s="18">
        <f>IF($E289="","",COUNTA($E$4:$E289))</f>
        <v/>
      </c>
      <c r="B289" s="12" t="n"/>
      <c r="C289" s="12" t="n"/>
      <c r="D289" s="12" t="n"/>
      <c r="E289" s="12" t="n"/>
      <c r="F289" s="12" t="n"/>
      <c r="G289" s="12" t="n"/>
      <c r="H289" s="12" t="n"/>
      <c r="I289" s="19" t="n"/>
      <c r="J289" s="19" t="n"/>
      <c r="K289" s="19" t="n"/>
      <c r="L289" s="20" t="n"/>
      <c r="M289" s="20" t="n"/>
      <c r="N289" s="22">
        <f>IF($E289="","",ROUND(N($L289)-N($M289),2))</f>
        <v/>
      </c>
      <c r="O289" s="21" t="n"/>
      <c r="P289" s="20" t="n"/>
      <c r="Q289" s="12" t="n"/>
      <c r="R289" s="19" t="n"/>
      <c r="S289" s="20" t="n"/>
      <c r="T289" s="20" t="n"/>
      <c r="U289" s="20" t="n"/>
      <c r="V289" s="12" t="n"/>
      <c r="W289" s="12" t="n"/>
      <c r="X289" s="18">
        <f>IF($E289="","",IF(AND($B289&lt;&gt;"",ISNA(MATCH($B289,机构表,0))),"※机构不在【资料】里",IF(AND($D289&lt;&gt;"",ISNA(MATCH($D289,状态表,0))),"※状态不在【资料】里",IF(N($M289)&gt;N($L289),"※已还本金大于典当金额",IF(AND($I289&lt;&gt;"",$J289&lt;&gt;"",$J289&lt;$I289),"※到期日早于当票日期",IF(AND($H289&lt;&gt;"",COUNTIF($H$4:$H$403,$H289)&gt;1),"※当票号在本表里出现了不止一次",IF(AND($L289&lt;&gt;"",$E289=""),"※有金额没写客户","")))))))</f>
        <v/>
      </c>
    </row>
    <row r="290">
      <c r="A290" s="18">
        <f>IF($E290="","",COUNTA($E$4:$E290))</f>
        <v/>
      </c>
      <c r="B290" s="12" t="n"/>
      <c r="C290" s="12" t="n"/>
      <c r="D290" s="12" t="n"/>
      <c r="E290" s="12" t="n"/>
      <c r="F290" s="12" t="n"/>
      <c r="G290" s="12" t="n"/>
      <c r="H290" s="12" t="n"/>
      <c r="I290" s="19" t="n"/>
      <c r="J290" s="19" t="n"/>
      <c r="K290" s="19" t="n"/>
      <c r="L290" s="20" t="n"/>
      <c r="M290" s="20" t="n"/>
      <c r="N290" s="22">
        <f>IF($E290="","",ROUND(N($L290)-N($M290),2))</f>
        <v/>
      </c>
      <c r="O290" s="21" t="n"/>
      <c r="P290" s="20" t="n"/>
      <c r="Q290" s="12" t="n"/>
      <c r="R290" s="19" t="n"/>
      <c r="S290" s="20" t="n"/>
      <c r="T290" s="20" t="n"/>
      <c r="U290" s="20" t="n"/>
      <c r="V290" s="12" t="n"/>
      <c r="W290" s="12" t="n"/>
      <c r="X290" s="18">
        <f>IF($E290="","",IF(AND($B290&lt;&gt;"",ISNA(MATCH($B290,机构表,0))),"※机构不在【资料】里",IF(AND($D290&lt;&gt;"",ISNA(MATCH($D290,状态表,0))),"※状态不在【资料】里",IF(N($M290)&gt;N($L290),"※已还本金大于典当金额",IF(AND($I290&lt;&gt;"",$J290&lt;&gt;"",$J290&lt;$I290),"※到期日早于当票日期",IF(AND($H290&lt;&gt;"",COUNTIF($H$4:$H$403,$H290)&gt;1),"※当票号在本表里出现了不止一次",IF(AND($L290&lt;&gt;"",$E290=""),"※有金额没写客户","")))))))</f>
        <v/>
      </c>
    </row>
    <row r="291">
      <c r="A291" s="18">
        <f>IF($E291="","",COUNTA($E$4:$E291))</f>
        <v/>
      </c>
      <c r="B291" s="12" t="n"/>
      <c r="C291" s="12" t="n"/>
      <c r="D291" s="12" t="n"/>
      <c r="E291" s="12" t="n"/>
      <c r="F291" s="12" t="n"/>
      <c r="G291" s="12" t="n"/>
      <c r="H291" s="12" t="n"/>
      <c r="I291" s="19" t="n"/>
      <c r="J291" s="19" t="n"/>
      <c r="K291" s="19" t="n"/>
      <c r="L291" s="20" t="n"/>
      <c r="M291" s="20" t="n"/>
      <c r="N291" s="22">
        <f>IF($E291="","",ROUND(N($L291)-N($M291),2))</f>
        <v/>
      </c>
      <c r="O291" s="21" t="n"/>
      <c r="P291" s="20" t="n"/>
      <c r="Q291" s="12" t="n"/>
      <c r="R291" s="19" t="n"/>
      <c r="S291" s="20" t="n"/>
      <c r="T291" s="20" t="n"/>
      <c r="U291" s="20" t="n"/>
      <c r="V291" s="12" t="n"/>
      <c r="W291" s="12" t="n"/>
      <c r="X291" s="18">
        <f>IF($E291="","",IF(AND($B291&lt;&gt;"",ISNA(MATCH($B291,机构表,0))),"※机构不在【资料】里",IF(AND($D291&lt;&gt;"",ISNA(MATCH($D291,状态表,0))),"※状态不在【资料】里",IF(N($M291)&gt;N($L291),"※已还本金大于典当金额",IF(AND($I291&lt;&gt;"",$J291&lt;&gt;"",$J291&lt;$I291),"※到期日早于当票日期",IF(AND($H291&lt;&gt;"",COUNTIF($H$4:$H$403,$H291)&gt;1),"※当票号在本表里出现了不止一次",IF(AND($L291&lt;&gt;"",$E291=""),"※有金额没写客户","")))))))</f>
        <v/>
      </c>
    </row>
    <row r="292">
      <c r="A292" s="18">
        <f>IF($E292="","",COUNTA($E$4:$E292))</f>
        <v/>
      </c>
      <c r="B292" s="12" t="n"/>
      <c r="C292" s="12" t="n"/>
      <c r="D292" s="12" t="n"/>
      <c r="E292" s="12" t="n"/>
      <c r="F292" s="12" t="n"/>
      <c r="G292" s="12" t="n"/>
      <c r="H292" s="12" t="n"/>
      <c r="I292" s="19" t="n"/>
      <c r="J292" s="19" t="n"/>
      <c r="K292" s="19" t="n"/>
      <c r="L292" s="20" t="n"/>
      <c r="M292" s="20" t="n"/>
      <c r="N292" s="22">
        <f>IF($E292="","",ROUND(N($L292)-N($M292),2))</f>
        <v/>
      </c>
      <c r="O292" s="21" t="n"/>
      <c r="P292" s="20" t="n"/>
      <c r="Q292" s="12" t="n"/>
      <c r="R292" s="19" t="n"/>
      <c r="S292" s="20" t="n"/>
      <c r="T292" s="20" t="n"/>
      <c r="U292" s="20" t="n"/>
      <c r="V292" s="12" t="n"/>
      <c r="W292" s="12" t="n"/>
      <c r="X292" s="18">
        <f>IF($E292="","",IF(AND($B292&lt;&gt;"",ISNA(MATCH($B292,机构表,0))),"※机构不在【资料】里",IF(AND($D292&lt;&gt;"",ISNA(MATCH($D292,状态表,0))),"※状态不在【资料】里",IF(N($M292)&gt;N($L292),"※已还本金大于典当金额",IF(AND($I292&lt;&gt;"",$J292&lt;&gt;"",$J292&lt;$I292),"※到期日早于当票日期",IF(AND($H292&lt;&gt;"",COUNTIF($H$4:$H$403,$H292)&gt;1),"※当票号在本表里出现了不止一次",IF(AND($L292&lt;&gt;"",$E292=""),"※有金额没写客户","")))))))</f>
        <v/>
      </c>
    </row>
    <row r="293">
      <c r="A293" s="18">
        <f>IF($E293="","",COUNTA($E$4:$E293))</f>
        <v/>
      </c>
      <c r="B293" s="12" t="n"/>
      <c r="C293" s="12" t="n"/>
      <c r="D293" s="12" t="n"/>
      <c r="E293" s="12" t="n"/>
      <c r="F293" s="12" t="n"/>
      <c r="G293" s="12" t="n"/>
      <c r="H293" s="12" t="n"/>
      <c r="I293" s="19" t="n"/>
      <c r="J293" s="19" t="n"/>
      <c r="K293" s="19" t="n"/>
      <c r="L293" s="20" t="n"/>
      <c r="M293" s="20" t="n"/>
      <c r="N293" s="22">
        <f>IF($E293="","",ROUND(N($L293)-N($M293),2))</f>
        <v/>
      </c>
      <c r="O293" s="21" t="n"/>
      <c r="P293" s="20" t="n"/>
      <c r="Q293" s="12" t="n"/>
      <c r="R293" s="19" t="n"/>
      <c r="S293" s="20" t="n"/>
      <c r="T293" s="20" t="n"/>
      <c r="U293" s="20" t="n"/>
      <c r="V293" s="12" t="n"/>
      <c r="W293" s="12" t="n"/>
      <c r="X293" s="18">
        <f>IF($E293="","",IF(AND($B293&lt;&gt;"",ISNA(MATCH($B293,机构表,0))),"※机构不在【资料】里",IF(AND($D293&lt;&gt;"",ISNA(MATCH($D293,状态表,0))),"※状态不在【资料】里",IF(N($M293)&gt;N($L293),"※已还本金大于典当金额",IF(AND($I293&lt;&gt;"",$J293&lt;&gt;"",$J293&lt;$I293),"※到期日早于当票日期",IF(AND($H293&lt;&gt;"",COUNTIF($H$4:$H$403,$H293)&gt;1),"※当票号在本表里出现了不止一次",IF(AND($L293&lt;&gt;"",$E293=""),"※有金额没写客户","")))))))</f>
        <v/>
      </c>
    </row>
    <row r="294">
      <c r="A294" s="18">
        <f>IF($E294="","",COUNTA($E$4:$E294))</f>
        <v/>
      </c>
      <c r="B294" s="12" t="n"/>
      <c r="C294" s="12" t="n"/>
      <c r="D294" s="12" t="n"/>
      <c r="E294" s="12" t="n"/>
      <c r="F294" s="12" t="n"/>
      <c r="G294" s="12" t="n"/>
      <c r="H294" s="12" t="n"/>
      <c r="I294" s="19" t="n"/>
      <c r="J294" s="19" t="n"/>
      <c r="K294" s="19" t="n"/>
      <c r="L294" s="20" t="n"/>
      <c r="M294" s="20" t="n"/>
      <c r="N294" s="22">
        <f>IF($E294="","",ROUND(N($L294)-N($M294),2))</f>
        <v/>
      </c>
      <c r="O294" s="21" t="n"/>
      <c r="P294" s="20" t="n"/>
      <c r="Q294" s="12" t="n"/>
      <c r="R294" s="19" t="n"/>
      <c r="S294" s="20" t="n"/>
      <c r="T294" s="20" t="n"/>
      <c r="U294" s="20" t="n"/>
      <c r="V294" s="12" t="n"/>
      <c r="W294" s="12" t="n"/>
      <c r="X294" s="18">
        <f>IF($E294="","",IF(AND($B294&lt;&gt;"",ISNA(MATCH($B294,机构表,0))),"※机构不在【资料】里",IF(AND($D294&lt;&gt;"",ISNA(MATCH($D294,状态表,0))),"※状态不在【资料】里",IF(N($M294)&gt;N($L294),"※已还本金大于典当金额",IF(AND($I294&lt;&gt;"",$J294&lt;&gt;"",$J294&lt;$I294),"※到期日早于当票日期",IF(AND($H294&lt;&gt;"",COUNTIF($H$4:$H$403,$H294)&gt;1),"※当票号在本表里出现了不止一次",IF(AND($L294&lt;&gt;"",$E294=""),"※有金额没写客户","")))))))</f>
        <v/>
      </c>
    </row>
    <row r="295">
      <c r="A295" s="18">
        <f>IF($E295="","",COUNTA($E$4:$E295))</f>
        <v/>
      </c>
      <c r="B295" s="12" t="n"/>
      <c r="C295" s="12" t="n"/>
      <c r="D295" s="12" t="n"/>
      <c r="E295" s="12" t="n"/>
      <c r="F295" s="12" t="n"/>
      <c r="G295" s="12" t="n"/>
      <c r="H295" s="12" t="n"/>
      <c r="I295" s="19" t="n"/>
      <c r="J295" s="19" t="n"/>
      <c r="K295" s="19" t="n"/>
      <c r="L295" s="20" t="n"/>
      <c r="M295" s="20" t="n"/>
      <c r="N295" s="22">
        <f>IF($E295="","",ROUND(N($L295)-N($M295),2))</f>
        <v/>
      </c>
      <c r="O295" s="21" t="n"/>
      <c r="P295" s="20" t="n"/>
      <c r="Q295" s="12" t="n"/>
      <c r="R295" s="19" t="n"/>
      <c r="S295" s="20" t="n"/>
      <c r="T295" s="20" t="n"/>
      <c r="U295" s="20" t="n"/>
      <c r="V295" s="12" t="n"/>
      <c r="W295" s="12" t="n"/>
      <c r="X295" s="18">
        <f>IF($E295="","",IF(AND($B295&lt;&gt;"",ISNA(MATCH($B295,机构表,0))),"※机构不在【资料】里",IF(AND($D295&lt;&gt;"",ISNA(MATCH($D295,状态表,0))),"※状态不在【资料】里",IF(N($M295)&gt;N($L295),"※已还本金大于典当金额",IF(AND($I295&lt;&gt;"",$J295&lt;&gt;"",$J295&lt;$I295),"※到期日早于当票日期",IF(AND($H295&lt;&gt;"",COUNTIF($H$4:$H$403,$H295)&gt;1),"※当票号在本表里出现了不止一次",IF(AND($L295&lt;&gt;"",$E295=""),"※有金额没写客户","")))))))</f>
        <v/>
      </c>
    </row>
    <row r="296">
      <c r="A296" s="18">
        <f>IF($E296="","",COUNTA($E$4:$E296))</f>
        <v/>
      </c>
      <c r="B296" s="12" t="n"/>
      <c r="C296" s="12" t="n"/>
      <c r="D296" s="12" t="n"/>
      <c r="E296" s="12" t="n"/>
      <c r="F296" s="12" t="n"/>
      <c r="G296" s="12" t="n"/>
      <c r="H296" s="12" t="n"/>
      <c r="I296" s="19" t="n"/>
      <c r="J296" s="19" t="n"/>
      <c r="K296" s="19" t="n"/>
      <c r="L296" s="20" t="n"/>
      <c r="M296" s="20" t="n"/>
      <c r="N296" s="22">
        <f>IF($E296="","",ROUND(N($L296)-N($M296),2))</f>
        <v/>
      </c>
      <c r="O296" s="21" t="n"/>
      <c r="P296" s="20" t="n"/>
      <c r="Q296" s="12" t="n"/>
      <c r="R296" s="19" t="n"/>
      <c r="S296" s="20" t="n"/>
      <c r="T296" s="20" t="n"/>
      <c r="U296" s="20" t="n"/>
      <c r="V296" s="12" t="n"/>
      <c r="W296" s="12" t="n"/>
      <c r="X296" s="18">
        <f>IF($E296="","",IF(AND($B296&lt;&gt;"",ISNA(MATCH($B296,机构表,0))),"※机构不在【资料】里",IF(AND($D296&lt;&gt;"",ISNA(MATCH($D296,状态表,0))),"※状态不在【资料】里",IF(N($M296)&gt;N($L296),"※已还本金大于典当金额",IF(AND($I296&lt;&gt;"",$J296&lt;&gt;"",$J296&lt;$I296),"※到期日早于当票日期",IF(AND($H296&lt;&gt;"",COUNTIF($H$4:$H$403,$H296)&gt;1),"※当票号在本表里出现了不止一次",IF(AND($L296&lt;&gt;"",$E296=""),"※有金额没写客户","")))))))</f>
        <v/>
      </c>
    </row>
    <row r="297">
      <c r="A297" s="18">
        <f>IF($E297="","",COUNTA($E$4:$E297))</f>
        <v/>
      </c>
      <c r="B297" s="12" t="n"/>
      <c r="C297" s="12" t="n"/>
      <c r="D297" s="12" t="n"/>
      <c r="E297" s="12" t="n"/>
      <c r="F297" s="12" t="n"/>
      <c r="G297" s="12" t="n"/>
      <c r="H297" s="12" t="n"/>
      <c r="I297" s="19" t="n"/>
      <c r="J297" s="19" t="n"/>
      <c r="K297" s="19" t="n"/>
      <c r="L297" s="20" t="n"/>
      <c r="M297" s="20" t="n"/>
      <c r="N297" s="22">
        <f>IF($E297="","",ROUND(N($L297)-N($M297),2))</f>
        <v/>
      </c>
      <c r="O297" s="21" t="n"/>
      <c r="P297" s="20" t="n"/>
      <c r="Q297" s="12" t="n"/>
      <c r="R297" s="19" t="n"/>
      <c r="S297" s="20" t="n"/>
      <c r="T297" s="20" t="n"/>
      <c r="U297" s="20" t="n"/>
      <c r="V297" s="12" t="n"/>
      <c r="W297" s="12" t="n"/>
      <c r="X297" s="18">
        <f>IF($E297="","",IF(AND($B297&lt;&gt;"",ISNA(MATCH($B297,机构表,0))),"※机构不在【资料】里",IF(AND($D297&lt;&gt;"",ISNA(MATCH($D297,状态表,0))),"※状态不在【资料】里",IF(N($M297)&gt;N($L297),"※已还本金大于典当金额",IF(AND($I297&lt;&gt;"",$J297&lt;&gt;"",$J297&lt;$I297),"※到期日早于当票日期",IF(AND($H297&lt;&gt;"",COUNTIF($H$4:$H$403,$H297)&gt;1),"※当票号在本表里出现了不止一次",IF(AND($L297&lt;&gt;"",$E297=""),"※有金额没写客户","")))))))</f>
        <v/>
      </c>
    </row>
    <row r="298">
      <c r="A298" s="18">
        <f>IF($E298="","",COUNTA($E$4:$E298))</f>
        <v/>
      </c>
      <c r="B298" s="12" t="n"/>
      <c r="C298" s="12" t="n"/>
      <c r="D298" s="12" t="n"/>
      <c r="E298" s="12" t="n"/>
      <c r="F298" s="12" t="n"/>
      <c r="G298" s="12" t="n"/>
      <c r="H298" s="12" t="n"/>
      <c r="I298" s="19" t="n"/>
      <c r="J298" s="19" t="n"/>
      <c r="K298" s="19" t="n"/>
      <c r="L298" s="20" t="n"/>
      <c r="M298" s="20" t="n"/>
      <c r="N298" s="22">
        <f>IF($E298="","",ROUND(N($L298)-N($M298),2))</f>
        <v/>
      </c>
      <c r="O298" s="21" t="n"/>
      <c r="P298" s="20" t="n"/>
      <c r="Q298" s="12" t="n"/>
      <c r="R298" s="19" t="n"/>
      <c r="S298" s="20" t="n"/>
      <c r="T298" s="20" t="n"/>
      <c r="U298" s="20" t="n"/>
      <c r="V298" s="12" t="n"/>
      <c r="W298" s="12" t="n"/>
      <c r="X298" s="18">
        <f>IF($E298="","",IF(AND($B298&lt;&gt;"",ISNA(MATCH($B298,机构表,0))),"※机构不在【资料】里",IF(AND($D298&lt;&gt;"",ISNA(MATCH($D298,状态表,0))),"※状态不在【资料】里",IF(N($M298)&gt;N($L298),"※已还本金大于典当金额",IF(AND($I298&lt;&gt;"",$J298&lt;&gt;"",$J298&lt;$I298),"※到期日早于当票日期",IF(AND($H298&lt;&gt;"",COUNTIF($H$4:$H$403,$H298)&gt;1),"※当票号在本表里出现了不止一次",IF(AND($L298&lt;&gt;"",$E298=""),"※有金额没写客户","")))))))</f>
        <v/>
      </c>
    </row>
    <row r="299">
      <c r="A299" s="18">
        <f>IF($E299="","",COUNTA($E$4:$E299))</f>
        <v/>
      </c>
      <c r="B299" s="12" t="n"/>
      <c r="C299" s="12" t="n"/>
      <c r="D299" s="12" t="n"/>
      <c r="E299" s="12" t="n"/>
      <c r="F299" s="12" t="n"/>
      <c r="G299" s="12" t="n"/>
      <c r="H299" s="12" t="n"/>
      <c r="I299" s="19" t="n"/>
      <c r="J299" s="19" t="n"/>
      <c r="K299" s="19" t="n"/>
      <c r="L299" s="20" t="n"/>
      <c r="M299" s="20" t="n"/>
      <c r="N299" s="22">
        <f>IF($E299="","",ROUND(N($L299)-N($M299),2))</f>
        <v/>
      </c>
      <c r="O299" s="21" t="n"/>
      <c r="P299" s="20" t="n"/>
      <c r="Q299" s="12" t="n"/>
      <c r="R299" s="19" t="n"/>
      <c r="S299" s="20" t="n"/>
      <c r="T299" s="20" t="n"/>
      <c r="U299" s="20" t="n"/>
      <c r="V299" s="12" t="n"/>
      <c r="W299" s="12" t="n"/>
      <c r="X299" s="18">
        <f>IF($E299="","",IF(AND($B299&lt;&gt;"",ISNA(MATCH($B299,机构表,0))),"※机构不在【资料】里",IF(AND($D299&lt;&gt;"",ISNA(MATCH($D299,状态表,0))),"※状态不在【资料】里",IF(N($M299)&gt;N($L299),"※已还本金大于典当金额",IF(AND($I299&lt;&gt;"",$J299&lt;&gt;"",$J299&lt;$I299),"※到期日早于当票日期",IF(AND($H299&lt;&gt;"",COUNTIF($H$4:$H$403,$H299)&gt;1),"※当票号在本表里出现了不止一次",IF(AND($L299&lt;&gt;"",$E299=""),"※有金额没写客户","")))))))</f>
        <v/>
      </c>
    </row>
    <row r="300">
      <c r="A300" s="18">
        <f>IF($E300="","",COUNTA($E$4:$E300))</f>
        <v/>
      </c>
      <c r="B300" s="12" t="n"/>
      <c r="C300" s="12" t="n"/>
      <c r="D300" s="12" t="n"/>
      <c r="E300" s="12" t="n"/>
      <c r="F300" s="12" t="n"/>
      <c r="G300" s="12" t="n"/>
      <c r="H300" s="12" t="n"/>
      <c r="I300" s="19" t="n"/>
      <c r="J300" s="19" t="n"/>
      <c r="K300" s="19" t="n"/>
      <c r="L300" s="20" t="n"/>
      <c r="M300" s="20" t="n"/>
      <c r="N300" s="22">
        <f>IF($E300="","",ROUND(N($L300)-N($M300),2))</f>
        <v/>
      </c>
      <c r="O300" s="21" t="n"/>
      <c r="P300" s="20" t="n"/>
      <c r="Q300" s="12" t="n"/>
      <c r="R300" s="19" t="n"/>
      <c r="S300" s="20" t="n"/>
      <c r="T300" s="20" t="n"/>
      <c r="U300" s="20" t="n"/>
      <c r="V300" s="12" t="n"/>
      <c r="W300" s="12" t="n"/>
      <c r="X300" s="18">
        <f>IF($E300="","",IF(AND($B300&lt;&gt;"",ISNA(MATCH($B300,机构表,0))),"※机构不在【资料】里",IF(AND($D300&lt;&gt;"",ISNA(MATCH($D300,状态表,0))),"※状态不在【资料】里",IF(N($M300)&gt;N($L300),"※已还本金大于典当金额",IF(AND($I300&lt;&gt;"",$J300&lt;&gt;"",$J300&lt;$I300),"※到期日早于当票日期",IF(AND($H300&lt;&gt;"",COUNTIF($H$4:$H$403,$H300)&gt;1),"※当票号在本表里出现了不止一次",IF(AND($L300&lt;&gt;"",$E300=""),"※有金额没写客户","")))))))</f>
        <v/>
      </c>
    </row>
    <row r="301">
      <c r="A301" s="18">
        <f>IF($E301="","",COUNTA($E$4:$E301))</f>
        <v/>
      </c>
      <c r="B301" s="12" t="n"/>
      <c r="C301" s="12" t="n"/>
      <c r="D301" s="12" t="n"/>
      <c r="E301" s="12" t="n"/>
      <c r="F301" s="12" t="n"/>
      <c r="G301" s="12" t="n"/>
      <c r="H301" s="12" t="n"/>
      <c r="I301" s="19" t="n"/>
      <c r="J301" s="19" t="n"/>
      <c r="K301" s="19" t="n"/>
      <c r="L301" s="20" t="n"/>
      <c r="M301" s="20" t="n"/>
      <c r="N301" s="22">
        <f>IF($E301="","",ROUND(N($L301)-N($M301),2))</f>
        <v/>
      </c>
      <c r="O301" s="21" t="n"/>
      <c r="P301" s="20" t="n"/>
      <c r="Q301" s="12" t="n"/>
      <c r="R301" s="19" t="n"/>
      <c r="S301" s="20" t="n"/>
      <c r="T301" s="20" t="n"/>
      <c r="U301" s="20" t="n"/>
      <c r="V301" s="12" t="n"/>
      <c r="W301" s="12" t="n"/>
      <c r="X301" s="18">
        <f>IF($E301="","",IF(AND($B301&lt;&gt;"",ISNA(MATCH($B301,机构表,0))),"※机构不在【资料】里",IF(AND($D301&lt;&gt;"",ISNA(MATCH($D301,状态表,0))),"※状态不在【资料】里",IF(N($M301)&gt;N($L301),"※已还本金大于典当金额",IF(AND($I301&lt;&gt;"",$J301&lt;&gt;"",$J301&lt;$I301),"※到期日早于当票日期",IF(AND($H301&lt;&gt;"",COUNTIF($H$4:$H$403,$H301)&gt;1),"※当票号在本表里出现了不止一次",IF(AND($L301&lt;&gt;"",$E301=""),"※有金额没写客户","")))))))</f>
        <v/>
      </c>
    </row>
    <row r="302">
      <c r="A302" s="18">
        <f>IF($E302="","",COUNTA($E$4:$E302))</f>
        <v/>
      </c>
      <c r="B302" s="12" t="n"/>
      <c r="C302" s="12" t="n"/>
      <c r="D302" s="12" t="n"/>
      <c r="E302" s="12" t="n"/>
      <c r="F302" s="12" t="n"/>
      <c r="G302" s="12" t="n"/>
      <c r="H302" s="12" t="n"/>
      <c r="I302" s="19" t="n"/>
      <c r="J302" s="19" t="n"/>
      <c r="K302" s="19" t="n"/>
      <c r="L302" s="20" t="n"/>
      <c r="M302" s="20" t="n"/>
      <c r="N302" s="22">
        <f>IF($E302="","",ROUND(N($L302)-N($M302),2))</f>
        <v/>
      </c>
      <c r="O302" s="21" t="n"/>
      <c r="P302" s="20" t="n"/>
      <c r="Q302" s="12" t="n"/>
      <c r="R302" s="19" t="n"/>
      <c r="S302" s="20" t="n"/>
      <c r="T302" s="20" t="n"/>
      <c r="U302" s="20" t="n"/>
      <c r="V302" s="12" t="n"/>
      <c r="W302" s="12" t="n"/>
      <c r="X302" s="18">
        <f>IF($E302="","",IF(AND($B302&lt;&gt;"",ISNA(MATCH($B302,机构表,0))),"※机构不在【资料】里",IF(AND($D302&lt;&gt;"",ISNA(MATCH($D302,状态表,0))),"※状态不在【资料】里",IF(N($M302)&gt;N($L302),"※已还本金大于典当金额",IF(AND($I302&lt;&gt;"",$J302&lt;&gt;"",$J302&lt;$I302),"※到期日早于当票日期",IF(AND($H302&lt;&gt;"",COUNTIF($H$4:$H$403,$H302)&gt;1),"※当票号在本表里出现了不止一次",IF(AND($L302&lt;&gt;"",$E302=""),"※有金额没写客户","")))))))</f>
        <v/>
      </c>
    </row>
    <row r="303">
      <c r="A303" s="18">
        <f>IF($E303="","",COUNTA($E$4:$E303))</f>
        <v/>
      </c>
      <c r="B303" s="12" t="n"/>
      <c r="C303" s="12" t="n"/>
      <c r="D303" s="12" t="n"/>
      <c r="E303" s="12" t="n"/>
      <c r="F303" s="12" t="n"/>
      <c r="G303" s="12" t="n"/>
      <c r="H303" s="12" t="n"/>
      <c r="I303" s="19" t="n"/>
      <c r="J303" s="19" t="n"/>
      <c r="K303" s="19" t="n"/>
      <c r="L303" s="20" t="n"/>
      <c r="M303" s="20" t="n"/>
      <c r="N303" s="22">
        <f>IF($E303="","",ROUND(N($L303)-N($M303),2))</f>
        <v/>
      </c>
      <c r="O303" s="21" t="n"/>
      <c r="P303" s="20" t="n"/>
      <c r="Q303" s="12" t="n"/>
      <c r="R303" s="19" t="n"/>
      <c r="S303" s="20" t="n"/>
      <c r="T303" s="20" t="n"/>
      <c r="U303" s="20" t="n"/>
      <c r="V303" s="12" t="n"/>
      <c r="W303" s="12" t="n"/>
      <c r="X303" s="18">
        <f>IF($E303="","",IF(AND($B303&lt;&gt;"",ISNA(MATCH($B303,机构表,0))),"※机构不在【资料】里",IF(AND($D303&lt;&gt;"",ISNA(MATCH($D303,状态表,0))),"※状态不在【资料】里",IF(N($M303)&gt;N($L303),"※已还本金大于典当金额",IF(AND($I303&lt;&gt;"",$J303&lt;&gt;"",$J303&lt;$I303),"※到期日早于当票日期",IF(AND($H303&lt;&gt;"",COUNTIF($H$4:$H$403,$H303)&gt;1),"※当票号在本表里出现了不止一次",IF(AND($L303&lt;&gt;"",$E303=""),"※有金额没写客户","")))))))</f>
        <v/>
      </c>
    </row>
    <row r="304">
      <c r="A304" s="18">
        <f>IF($E304="","",COUNTA($E$4:$E304))</f>
        <v/>
      </c>
      <c r="B304" s="12" t="n"/>
      <c r="C304" s="12" t="n"/>
      <c r="D304" s="12" t="n"/>
      <c r="E304" s="12" t="n"/>
      <c r="F304" s="12" t="n"/>
      <c r="G304" s="12" t="n"/>
      <c r="H304" s="12" t="n"/>
      <c r="I304" s="19" t="n"/>
      <c r="J304" s="19" t="n"/>
      <c r="K304" s="19" t="n"/>
      <c r="L304" s="20" t="n"/>
      <c r="M304" s="20" t="n"/>
      <c r="N304" s="22">
        <f>IF($E304="","",ROUND(N($L304)-N($M304),2))</f>
        <v/>
      </c>
      <c r="O304" s="21" t="n"/>
      <c r="P304" s="20" t="n"/>
      <c r="Q304" s="12" t="n"/>
      <c r="R304" s="19" t="n"/>
      <c r="S304" s="20" t="n"/>
      <c r="T304" s="20" t="n"/>
      <c r="U304" s="20" t="n"/>
      <c r="V304" s="12" t="n"/>
      <c r="W304" s="12" t="n"/>
      <c r="X304" s="18">
        <f>IF($E304="","",IF(AND($B304&lt;&gt;"",ISNA(MATCH($B304,机构表,0))),"※机构不在【资料】里",IF(AND($D304&lt;&gt;"",ISNA(MATCH($D304,状态表,0))),"※状态不在【资料】里",IF(N($M304)&gt;N($L304),"※已还本金大于典当金额",IF(AND($I304&lt;&gt;"",$J304&lt;&gt;"",$J304&lt;$I304),"※到期日早于当票日期",IF(AND($H304&lt;&gt;"",COUNTIF($H$4:$H$403,$H304)&gt;1),"※当票号在本表里出现了不止一次",IF(AND($L304&lt;&gt;"",$E304=""),"※有金额没写客户","")))))))</f>
        <v/>
      </c>
    </row>
    <row r="305">
      <c r="A305" s="18">
        <f>IF($E305="","",COUNTA($E$4:$E305))</f>
        <v/>
      </c>
      <c r="B305" s="12" t="n"/>
      <c r="C305" s="12" t="n"/>
      <c r="D305" s="12" t="n"/>
      <c r="E305" s="12" t="n"/>
      <c r="F305" s="12" t="n"/>
      <c r="G305" s="12" t="n"/>
      <c r="H305" s="12" t="n"/>
      <c r="I305" s="19" t="n"/>
      <c r="J305" s="19" t="n"/>
      <c r="K305" s="19" t="n"/>
      <c r="L305" s="20" t="n"/>
      <c r="M305" s="20" t="n"/>
      <c r="N305" s="22">
        <f>IF($E305="","",ROUND(N($L305)-N($M305),2))</f>
        <v/>
      </c>
      <c r="O305" s="21" t="n"/>
      <c r="P305" s="20" t="n"/>
      <c r="Q305" s="12" t="n"/>
      <c r="R305" s="19" t="n"/>
      <c r="S305" s="20" t="n"/>
      <c r="T305" s="20" t="n"/>
      <c r="U305" s="20" t="n"/>
      <c r="V305" s="12" t="n"/>
      <c r="W305" s="12" t="n"/>
      <c r="X305" s="18">
        <f>IF($E305="","",IF(AND($B305&lt;&gt;"",ISNA(MATCH($B305,机构表,0))),"※机构不在【资料】里",IF(AND($D305&lt;&gt;"",ISNA(MATCH($D305,状态表,0))),"※状态不在【资料】里",IF(N($M305)&gt;N($L305),"※已还本金大于典当金额",IF(AND($I305&lt;&gt;"",$J305&lt;&gt;"",$J305&lt;$I305),"※到期日早于当票日期",IF(AND($H305&lt;&gt;"",COUNTIF($H$4:$H$403,$H305)&gt;1),"※当票号在本表里出现了不止一次",IF(AND($L305&lt;&gt;"",$E305=""),"※有金额没写客户","")))))))</f>
        <v/>
      </c>
    </row>
    <row r="306">
      <c r="A306" s="18">
        <f>IF($E306="","",COUNTA($E$4:$E306))</f>
        <v/>
      </c>
      <c r="B306" s="12" t="n"/>
      <c r="C306" s="12" t="n"/>
      <c r="D306" s="12" t="n"/>
      <c r="E306" s="12" t="n"/>
      <c r="F306" s="12" t="n"/>
      <c r="G306" s="12" t="n"/>
      <c r="H306" s="12" t="n"/>
      <c r="I306" s="19" t="n"/>
      <c r="J306" s="19" t="n"/>
      <c r="K306" s="19" t="n"/>
      <c r="L306" s="20" t="n"/>
      <c r="M306" s="20" t="n"/>
      <c r="N306" s="22">
        <f>IF($E306="","",ROUND(N($L306)-N($M306),2))</f>
        <v/>
      </c>
      <c r="O306" s="21" t="n"/>
      <c r="P306" s="20" t="n"/>
      <c r="Q306" s="12" t="n"/>
      <c r="R306" s="19" t="n"/>
      <c r="S306" s="20" t="n"/>
      <c r="T306" s="20" t="n"/>
      <c r="U306" s="20" t="n"/>
      <c r="V306" s="12" t="n"/>
      <c r="W306" s="12" t="n"/>
      <c r="X306" s="18">
        <f>IF($E306="","",IF(AND($B306&lt;&gt;"",ISNA(MATCH($B306,机构表,0))),"※机构不在【资料】里",IF(AND($D306&lt;&gt;"",ISNA(MATCH($D306,状态表,0))),"※状态不在【资料】里",IF(N($M306)&gt;N($L306),"※已还本金大于典当金额",IF(AND($I306&lt;&gt;"",$J306&lt;&gt;"",$J306&lt;$I306),"※到期日早于当票日期",IF(AND($H306&lt;&gt;"",COUNTIF($H$4:$H$403,$H306)&gt;1),"※当票号在本表里出现了不止一次",IF(AND($L306&lt;&gt;"",$E306=""),"※有金额没写客户","")))))))</f>
        <v/>
      </c>
    </row>
    <row r="307">
      <c r="A307" s="18">
        <f>IF($E307="","",COUNTA($E$4:$E307))</f>
        <v/>
      </c>
      <c r="B307" s="12" t="n"/>
      <c r="C307" s="12" t="n"/>
      <c r="D307" s="12" t="n"/>
      <c r="E307" s="12" t="n"/>
      <c r="F307" s="12" t="n"/>
      <c r="G307" s="12" t="n"/>
      <c r="H307" s="12" t="n"/>
      <c r="I307" s="19" t="n"/>
      <c r="J307" s="19" t="n"/>
      <c r="K307" s="19" t="n"/>
      <c r="L307" s="20" t="n"/>
      <c r="M307" s="20" t="n"/>
      <c r="N307" s="22">
        <f>IF($E307="","",ROUND(N($L307)-N($M307),2))</f>
        <v/>
      </c>
      <c r="O307" s="21" t="n"/>
      <c r="P307" s="20" t="n"/>
      <c r="Q307" s="12" t="n"/>
      <c r="R307" s="19" t="n"/>
      <c r="S307" s="20" t="n"/>
      <c r="T307" s="20" t="n"/>
      <c r="U307" s="20" t="n"/>
      <c r="V307" s="12" t="n"/>
      <c r="W307" s="12" t="n"/>
      <c r="X307" s="18">
        <f>IF($E307="","",IF(AND($B307&lt;&gt;"",ISNA(MATCH($B307,机构表,0))),"※机构不在【资料】里",IF(AND($D307&lt;&gt;"",ISNA(MATCH($D307,状态表,0))),"※状态不在【资料】里",IF(N($M307)&gt;N($L307),"※已还本金大于典当金额",IF(AND($I307&lt;&gt;"",$J307&lt;&gt;"",$J307&lt;$I307),"※到期日早于当票日期",IF(AND($H307&lt;&gt;"",COUNTIF($H$4:$H$403,$H307)&gt;1),"※当票号在本表里出现了不止一次",IF(AND($L307&lt;&gt;"",$E307=""),"※有金额没写客户","")))))))</f>
        <v/>
      </c>
    </row>
    <row r="308">
      <c r="A308" s="18">
        <f>IF($E308="","",COUNTA($E$4:$E308))</f>
        <v/>
      </c>
      <c r="B308" s="12" t="n"/>
      <c r="C308" s="12" t="n"/>
      <c r="D308" s="12" t="n"/>
      <c r="E308" s="12" t="n"/>
      <c r="F308" s="12" t="n"/>
      <c r="G308" s="12" t="n"/>
      <c r="H308" s="12" t="n"/>
      <c r="I308" s="19" t="n"/>
      <c r="J308" s="19" t="n"/>
      <c r="K308" s="19" t="n"/>
      <c r="L308" s="20" t="n"/>
      <c r="M308" s="20" t="n"/>
      <c r="N308" s="22">
        <f>IF($E308="","",ROUND(N($L308)-N($M308),2))</f>
        <v/>
      </c>
      <c r="O308" s="21" t="n"/>
      <c r="P308" s="20" t="n"/>
      <c r="Q308" s="12" t="n"/>
      <c r="R308" s="19" t="n"/>
      <c r="S308" s="20" t="n"/>
      <c r="T308" s="20" t="n"/>
      <c r="U308" s="20" t="n"/>
      <c r="V308" s="12" t="n"/>
      <c r="W308" s="12" t="n"/>
      <c r="X308" s="18">
        <f>IF($E308="","",IF(AND($B308&lt;&gt;"",ISNA(MATCH($B308,机构表,0))),"※机构不在【资料】里",IF(AND($D308&lt;&gt;"",ISNA(MATCH($D308,状态表,0))),"※状态不在【资料】里",IF(N($M308)&gt;N($L308),"※已还本金大于典当金额",IF(AND($I308&lt;&gt;"",$J308&lt;&gt;"",$J308&lt;$I308),"※到期日早于当票日期",IF(AND($H308&lt;&gt;"",COUNTIF($H$4:$H$403,$H308)&gt;1),"※当票号在本表里出现了不止一次",IF(AND($L308&lt;&gt;"",$E308=""),"※有金额没写客户","")))))))</f>
        <v/>
      </c>
    </row>
    <row r="309">
      <c r="A309" s="18">
        <f>IF($E309="","",COUNTA($E$4:$E309))</f>
        <v/>
      </c>
      <c r="B309" s="12" t="n"/>
      <c r="C309" s="12" t="n"/>
      <c r="D309" s="12" t="n"/>
      <c r="E309" s="12" t="n"/>
      <c r="F309" s="12" t="n"/>
      <c r="G309" s="12" t="n"/>
      <c r="H309" s="12" t="n"/>
      <c r="I309" s="19" t="n"/>
      <c r="J309" s="19" t="n"/>
      <c r="K309" s="19" t="n"/>
      <c r="L309" s="20" t="n"/>
      <c r="M309" s="20" t="n"/>
      <c r="N309" s="22">
        <f>IF($E309="","",ROUND(N($L309)-N($M309),2))</f>
        <v/>
      </c>
      <c r="O309" s="21" t="n"/>
      <c r="P309" s="20" t="n"/>
      <c r="Q309" s="12" t="n"/>
      <c r="R309" s="19" t="n"/>
      <c r="S309" s="20" t="n"/>
      <c r="T309" s="20" t="n"/>
      <c r="U309" s="20" t="n"/>
      <c r="V309" s="12" t="n"/>
      <c r="W309" s="12" t="n"/>
      <c r="X309" s="18">
        <f>IF($E309="","",IF(AND($B309&lt;&gt;"",ISNA(MATCH($B309,机构表,0))),"※机构不在【资料】里",IF(AND($D309&lt;&gt;"",ISNA(MATCH($D309,状态表,0))),"※状态不在【资料】里",IF(N($M309)&gt;N($L309),"※已还本金大于典当金额",IF(AND($I309&lt;&gt;"",$J309&lt;&gt;"",$J309&lt;$I309),"※到期日早于当票日期",IF(AND($H309&lt;&gt;"",COUNTIF($H$4:$H$403,$H309)&gt;1),"※当票号在本表里出现了不止一次",IF(AND($L309&lt;&gt;"",$E309=""),"※有金额没写客户","")))))))</f>
        <v/>
      </c>
    </row>
    <row r="310">
      <c r="A310" s="18">
        <f>IF($E310="","",COUNTA($E$4:$E310))</f>
        <v/>
      </c>
      <c r="B310" s="12" t="n"/>
      <c r="C310" s="12" t="n"/>
      <c r="D310" s="12" t="n"/>
      <c r="E310" s="12" t="n"/>
      <c r="F310" s="12" t="n"/>
      <c r="G310" s="12" t="n"/>
      <c r="H310" s="12" t="n"/>
      <c r="I310" s="19" t="n"/>
      <c r="J310" s="19" t="n"/>
      <c r="K310" s="19" t="n"/>
      <c r="L310" s="20" t="n"/>
      <c r="M310" s="20" t="n"/>
      <c r="N310" s="22">
        <f>IF($E310="","",ROUND(N($L310)-N($M310),2))</f>
        <v/>
      </c>
      <c r="O310" s="21" t="n"/>
      <c r="P310" s="20" t="n"/>
      <c r="Q310" s="12" t="n"/>
      <c r="R310" s="19" t="n"/>
      <c r="S310" s="20" t="n"/>
      <c r="T310" s="20" t="n"/>
      <c r="U310" s="20" t="n"/>
      <c r="V310" s="12" t="n"/>
      <c r="W310" s="12" t="n"/>
      <c r="X310" s="18">
        <f>IF($E310="","",IF(AND($B310&lt;&gt;"",ISNA(MATCH($B310,机构表,0))),"※机构不在【资料】里",IF(AND($D310&lt;&gt;"",ISNA(MATCH($D310,状态表,0))),"※状态不在【资料】里",IF(N($M310)&gt;N($L310),"※已还本金大于典当金额",IF(AND($I310&lt;&gt;"",$J310&lt;&gt;"",$J310&lt;$I310),"※到期日早于当票日期",IF(AND($H310&lt;&gt;"",COUNTIF($H$4:$H$403,$H310)&gt;1),"※当票号在本表里出现了不止一次",IF(AND($L310&lt;&gt;"",$E310=""),"※有金额没写客户","")))))))</f>
        <v/>
      </c>
    </row>
    <row r="311">
      <c r="A311" s="18">
        <f>IF($E311="","",COUNTA($E$4:$E311))</f>
        <v/>
      </c>
      <c r="B311" s="12" t="n"/>
      <c r="C311" s="12" t="n"/>
      <c r="D311" s="12" t="n"/>
      <c r="E311" s="12" t="n"/>
      <c r="F311" s="12" t="n"/>
      <c r="G311" s="12" t="n"/>
      <c r="H311" s="12" t="n"/>
      <c r="I311" s="19" t="n"/>
      <c r="J311" s="19" t="n"/>
      <c r="K311" s="19" t="n"/>
      <c r="L311" s="20" t="n"/>
      <c r="M311" s="20" t="n"/>
      <c r="N311" s="22">
        <f>IF($E311="","",ROUND(N($L311)-N($M311),2))</f>
        <v/>
      </c>
      <c r="O311" s="21" t="n"/>
      <c r="P311" s="20" t="n"/>
      <c r="Q311" s="12" t="n"/>
      <c r="R311" s="19" t="n"/>
      <c r="S311" s="20" t="n"/>
      <c r="T311" s="20" t="n"/>
      <c r="U311" s="20" t="n"/>
      <c r="V311" s="12" t="n"/>
      <c r="W311" s="12" t="n"/>
      <c r="X311" s="18">
        <f>IF($E311="","",IF(AND($B311&lt;&gt;"",ISNA(MATCH($B311,机构表,0))),"※机构不在【资料】里",IF(AND($D311&lt;&gt;"",ISNA(MATCH($D311,状态表,0))),"※状态不在【资料】里",IF(N($M311)&gt;N($L311),"※已还本金大于典当金额",IF(AND($I311&lt;&gt;"",$J311&lt;&gt;"",$J311&lt;$I311),"※到期日早于当票日期",IF(AND($H311&lt;&gt;"",COUNTIF($H$4:$H$403,$H311)&gt;1),"※当票号在本表里出现了不止一次",IF(AND($L311&lt;&gt;"",$E311=""),"※有金额没写客户","")))))))</f>
        <v/>
      </c>
    </row>
    <row r="312">
      <c r="A312" s="18">
        <f>IF($E312="","",COUNTA($E$4:$E312))</f>
        <v/>
      </c>
      <c r="B312" s="12" t="n"/>
      <c r="C312" s="12" t="n"/>
      <c r="D312" s="12" t="n"/>
      <c r="E312" s="12" t="n"/>
      <c r="F312" s="12" t="n"/>
      <c r="G312" s="12" t="n"/>
      <c r="H312" s="12" t="n"/>
      <c r="I312" s="19" t="n"/>
      <c r="J312" s="19" t="n"/>
      <c r="K312" s="19" t="n"/>
      <c r="L312" s="20" t="n"/>
      <c r="M312" s="20" t="n"/>
      <c r="N312" s="22">
        <f>IF($E312="","",ROUND(N($L312)-N($M312),2))</f>
        <v/>
      </c>
      <c r="O312" s="21" t="n"/>
      <c r="P312" s="20" t="n"/>
      <c r="Q312" s="12" t="n"/>
      <c r="R312" s="19" t="n"/>
      <c r="S312" s="20" t="n"/>
      <c r="T312" s="20" t="n"/>
      <c r="U312" s="20" t="n"/>
      <c r="V312" s="12" t="n"/>
      <c r="W312" s="12" t="n"/>
      <c r="X312" s="18">
        <f>IF($E312="","",IF(AND($B312&lt;&gt;"",ISNA(MATCH($B312,机构表,0))),"※机构不在【资料】里",IF(AND($D312&lt;&gt;"",ISNA(MATCH($D312,状态表,0))),"※状态不在【资料】里",IF(N($M312)&gt;N($L312),"※已还本金大于典当金额",IF(AND($I312&lt;&gt;"",$J312&lt;&gt;"",$J312&lt;$I312),"※到期日早于当票日期",IF(AND($H312&lt;&gt;"",COUNTIF($H$4:$H$403,$H312)&gt;1),"※当票号在本表里出现了不止一次",IF(AND($L312&lt;&gt;"",$E312=""),"※有金额没写客户","")))))))</f>
        <v/>
      </c>
    </row>
    <row r="313">
      <c r="A313" s="18">
        <f>IF($E313="","",COUNTA($E$4:$E313))</f>
        <v/>
      </c>
      <c r="B313" s="12" t="n"/>
      <c r="C313" s="12" t="n"/>
      <c r="D313" s="12" t="n"/>
      <c r="E313" s="12" t="n"/>
      <c r="F313" s="12" t="n"/>
      <c r="G313" s="12" t="n"/>
      <c r="H313" s="12" t="n"/>
      <c r="I313" s="19" t="n"/>
      <c r="J313" s="19" t="n"/>
      <c r="K313" s="19" t="n"/>
      <c r="L313" s="20" t="n"/>
      <c r="M313" s="20" t="n"/>
      <c r="N313" s="22">
        <f>IF($E313="","",ROUND(N($L313)-N($M313),2))</f>
        <v/>
      </c>
      <c r="O313" s="21" t="n"/>
      <c r="P313" s="20" t="n"/>
      <c r="Q313" s="12" t="n"/>
      <c r="R313" s="19" t="n"/>
      <c r="S313" s="20" t="n"/>
      <c r="T313" s="20" t="n"/>
      <c r="U313" s="20" t="n"/>
      <c r="V313" s="12" t="n"/>
      <c r="W313" s="12" t="n"/>
      <c r="X313" s="18">
        <f>IF($E313="","",IF(AND($B313&lt;&gt;"",ISNA(MATCH($B313,机构表,0))),"※机构不在【资料】里",IF(AND($D313&lt;&gt;"",ISNA(MATCH($D313,状态表,0))),"※状态不在【资料】里",IF(N($M313)&gt;N($L313),"※已还本金大于典当金额",IF(AND($I313&lt;&gt;"",$J313&lt;&gt;"",$J313&lt;$I313),"※到期日早于当票日期",IF(AND($H313&lt;&gt;"",COUNTIF($H$4:$H$403,$H313)&gt;1),"※当票号在本表里出现了不止一次",IF(AND($L313&lt;&gt;"",$E313=""),"※有金额没写客户","")))))))</f>
        <v/>
      </c>
    </row>
    <row r="314">
      <c r="A314" s="18">
        <f>IF($E314="","",COUNTA($E$4:$E314))</f>
        <v/>
      </c>
      <c r="B314" s="12" t="n"/>
      <c r="C314" s="12" t="n"/>
      <c r="D314" s="12" t="n"/>
      <c r="E314" s="12" t="n"/>
      <c r="F314" s="12" t="n"/>
      <c r="G314" s="12" t="n"/>
      <c r="H314" s="12" t="n"/>
      <c r="I314" s="19" t="n"/>
      <c r="J314" s="19" t="n"/>
      <c r="K314" s="19" t="n"/>
      <c r="L314" s="20" t="n"/>
      <c r="M314" s="20" t="n"/>
      <c r="N314" s="22">
        <f>IF($E314="","",ROUND(N($L314)-N($M314),2))</f>
        <v/>
      </c>
      <c r="O314" s="21" t="n"/>
      <c r="P314" s="20" t="n"/>
      <c r="Q314" s="12" t="n"/>
      <c r="R314" s="19" t="n"/>
      <c r="S314" s="20" t="n"/>
      <c r="T314" s="20" t="n"/>
      <c r="U314" s="20" t="n"/>
      <c r="V314" s="12" t="n"/>
      <c r="W314" s="12" t="n"/>
      <c r="X314" s="18">
        <f>IF($E314="","",IF(AND($B314&lt;&gt;"",ISNA(MATCH($B314,机构表,0))),"※机构不在【资料】里",IF(AND($D314&lt;&gt;"",ISNA(MATCH($D314,状态表,0))),"※状态不在【资料】里",IF(N($M314)&gt;N($L314),"※已还本金大于典当金额",IF(AND($I314&lt;&gt;"",$J314&lt;&gt;"",$J314&lt;$I314),"※到期日早于当票日期",IF(AND($H314&lt;&gt;"",COUNTIF($H$4:$H$403,$H314)&gt;1),"※当票号在本表里出现了不止一次",IF(AND($L314&lt;&gt;"",$E314=""),"※有金额没写客户","")))))))</f>
        <v/>
      </c>
    </row>
    <row r="315">
      <c r="A315" s="18">
        <f>IF($E315="","",COUNTA($E$4:$E315))</f>
        <v/>
      </c>
      <c r="B315" s="12" t="n"/>
      <c r="C315" s="12" t="n"/>
      <c r="D315" s="12" t="n"/>
      <c r="E315" s="12" t="n"/>
      <c r="F315" s="12" t="n"/>
      <c r="G315" s="12" t="n"/>
      <c r="H315" s="12" t="n"/>
      <c r="I315" s="19" t="n"/>
      <c r="J315" s="19" t="n"/>
      <c r="K315" s="19" t="n"/>
      <c r="L315" s="20" t="n"/>
      <c r="M315" s="20" t="n"/>
      <c r="N315" s="22">
        <f>IF($E315="","",ROUND(N($L315)-N($M315),2))</f>
        <v/>
      </c>
      <c r="O315" s="21" t="n"/>
      <c r="P315" s="20" t="n"/>
      <c r="Q315" s="12" t="n"/>
      <c r="R315" s="19" t="n"/>
      <c r="S315" s="20" t="n"/>
      <c r="T315" s="20" t="n"/>
      <c r="U315" s="20" t="n"/>
      <c r="V315" s="12" t="n"/>
      <c r="W315" s="12" t="n"/>
      <c r="X315" s="18">
        <f>IF($E315="","",IF(AND($B315&lt;&gt;"",ISNA(MATCH($B315,机构表,0))),"※机构不在【资料】里",IF(AND($D315&lt;&gt;"",ISNA(MATCH($D315,状态表,0))),"※状态不在【资料】里",IF(N($M315)&gt;N($L315),"※已还本金大于典当金额",IF(AND($I315&lt;&gt;"",$J315&lt;&gt;"",$J315&lt;$I315),"※到期日早于当票日期",IF(AND($H315&lt;&gt;"",COUNTIF($H$4:$H$403,$H315)&gt;1),"※当票号在本表里出现了不止一次",IF(AND($L315&lt;&gt;"",$E315=""),"※有金额没写客户","")))))))</f>
        <v/>
      </c>
    </row>
    <row r="316">
      <c r="A316" s="18">
        <f>IF($E316="","",COUNTA($E$4:$E316))</f>
        <v/>
      </c>
      <c r="B316" s="12" t="n"/>
      <c r="C316" s="12" t="n"/>
      <c r="D316" s="12" t="n"/>
      <c r="E316" s="12" t="n"/>
      <c r="F316" s="12" t="n"/>
      <c r="G316" s="12" t="n"/>
      <c r="H316" s="12" t="n"/>
      <c r="I316" s="19" t="n"/>
      <c r="J316" s="19" t="n"/>
      <c r="K316" s="19" t="n"/>
      <c r="L316" s="20" t="n"/>
      <c r="M316" s="20" t="n"/>
      <c r="N316" s="22">
        <f>IF($E316="","",ROUND(N($L316)-N($M316),2))</f>
        <v/>
      </c>
      <c r="O316" s="21" t="n"/>
      <c r="P316" s="20" t="n"/>
      <c r="Q316" s="12" t="n"/>
      <c r="R316" s="19" t="n"/>
      <c r="S316" s="20" t="n"/>
      <c r="T316" s="20" t="n"/>
      <c r="U316" s="20" t="n"/>
      <c r="V316" s="12" t="n"/>
      <c r="W316" s="12" t="n"/>
      <c r="X316" s="18">
        <f>IF($E316="","",IF(AND($B316&lt;&gt;"",ISNA(MATCH($B316,机构表,0))),"※机构不在【资料】里",IF(AND($D316&lt;&gt;"",ISNA(MATCH($D316,状态表,0))),"※状态不在【资料】里",IF(N($M316)&gt;N($L316),"※已还本金大于典当金额",IF(AND($I316&lt;&gt;"",$J316&lt;&gt;"",$J316&lt;$I316),"※到期日早于当票日期",IF(AND($H316&lt;&gt;"",COUNTIF($H$4:$H$403,$H316)&gt;1),"※当票号在本表里出现了不止一次",IF(AND($L316&lt;&gt;"",$E316=""),"※有金额没写客户","")))))))</f>
        <v/>
      </c>
    </row>
    <row r="317">
      <c r="A317" s="18">
        <f>IF($E317="","",COUNTA($E$4:$E317))</f>
        <v/>
      </c>
      <c r="B317" s="12" t="n"/>
      <c r="C317" s="12" t="n"/>
      <c r="D317" s="12" t="n"/>
      <c r="E317" s="12" t="n"/>
      <c r="F317" s="12" t="n"/>
      <c r="G317" s="12" t="n"/>
      <c r="H317" s="12" t="n"/>
      <c r="I317" s="19" t="n"/>
      <c r="J317" s="19" t="n"/>
      <c r="K317" s="19" t="n"/>
      <c r="L317" s="20" t="n"/>
      <c r="M317" s="20" t="n"/>
      <c r="N317" s="22">
        <f>IF($E317="","",ROUND(N($L317)-N($M317),2))</f>
        <v/>
      </c>
      <c r="O317" s="21" t="n"/>
      <c r="P317" s="20" t="n"/>
      <c r="Q317" s="12" t="n"/>
      <c r="R317" s="19" t="n"/>
      <c r="S317" s="20" t="n"/>
      <c r="T317" s="20" t="n"/>
      <c r="U317" s="20" t="n"/>
      <c r="V317" s="12" t="n"/>
      <c r="W317" s="12" t="n"/>
      <c r="X317" s="18">
        <f>IF($E317="","",IF(AND($B317&lt;&gt;"",ISNA(MATCH($B317,机构表,0))),"※机构不在【资料】里",IF(AND($D317&lt;&gt;"",ISNA(MATCH($D317,状态表,0))),"※状态不在【资料】里",IF(N($M317)&gt;N($L317),"※已还本金大于典当金额",IF(AND($I317&lt;&gt;"",$J317&lt;&gt;"",$J317&lt;$I317),"※到期日早于当票日期",IF(AND($H317&lt;&gt;"",COUNTIF($H$4:$H$403,$H317)&gt;1),"※当票号在本表里出现了不止一次",IF(AND($L317&lt;&gt;"",$E317=""),"※有金额没写客户","")))))))</f>
        <v/>
      </c>
    </row>
    <row r="318">
      <c r="A318" s="18">
        <f>IF($E318="","",COUNTA($E$4:$E318))</f>
        <v/>
      </c>
      <c r="B318" s="12" t="n"/>
      <c r="C318" s="12" t="n"/>
      <c r="D318" s="12" t="n"/>
      <c r="E318" s="12" t="n"/>
      <c r="F318" s="12" t="n"/>
      <c r="G318" s="12" t="n"/>
      <c r="H318" s="12" t="n"/>
      <c r="I318" s="19" t="n"/>
      <c r="J318" s="19" t="n"/>
      <c r="K318" s="19" t="n"/>
      <c r="L318" s="20" t="n"/>
      <c r="M318" s="20" t="n"/>
      <c r="N318" s="22">
        <f>IF($E318="","",ROUND(N($L318)-N($M318),2))</f>
        <v/>
      </c>
      <c r="O318" s="21" t="n"/>
      <c r="P318" s="20" t="n"/>
      <c r="Q318" s="12" t="n"/>
      <c r="R318" s="19" t="n"/>
      <c r="S318" s="20" t="n"/>
      <c r="T318" s="20" t="n"/>
      <c r="U318" s="20" t="n"/>
      <c r="V318" s="12" t="n"/>
      <c r="W318" s="12" t="n"/>
      <c r="X318" s="18">
        <f>IF($E318="","",IF(AND($B318&lt;&gt;"",ISNA(MATCH($B318,机构表,0))),"※机构不在【资料】里",IF(AND($D318&lt;&gt;"",ISNA(MATCH($D318,状态表,0))),"※状态不在【资料】里",IF(N($M318)&gt;N($L318),"※已还本金大于典当金额",IF(AND($I318&lt;&gt;"",$J318&lt;&gt;"",$J318&lt;$I318),"※到期日早于当票日期",IF(AND($H318&lt;&gt;"",COUNTIF($H$4:$H$403,$H318)&gt;1),"※当票号在本表里出现了不止一次",IF(AND($L318&lt;&gt;"",$E318=""),"※有金额没写客户","")))))))</f>
        <v/>
      </c>
    </row>
    <row r="319">
      <c r="A319" s="18">
        <f>IF($E319="","",COUNTA($E$4:$E319))</f>
        <v/>
      </c>
      <c r="B319" s="12" t="n"/>
      <c r="C319" s="12" t="n"/>
      <c r="D319" s="12" t="n"/>
      <c r="E319" s="12" t="n"/>
      <c r="F319" s="12" t="n"/>
      <c r="G319" s="12" t="n"/>
      <c r="H319" s="12" t="n"/>
      <c r="I319" s="19" t="n"/>
      <c r="J319" s="19" t="n"/>
      <c r="K319" s="19" t="n"/>
      <c r="L319" s="20" t="n"/>
      <c r="M319" s="20" t="n"/>
      <c r="N319" s="22">
        <f>IF($E319="","",ROUND(N($L319)-N($M319),2))</f>
        <v/>
      </c>
      <c r="O319" s="21" t="n"/>
      <c r="P319" s="20" t="n"/>
      <c r="Q319" s="12" t="n"/>
      <c r="R319" s="19" t="n"/>
      <c r="S319" s="20" t="n"/>
      <c r="T319" s="20" t="n"/>
      <c r="U319" s="20" t="n"/>
      <c r="V319" s="12" t="n"/>
      <c r="W319" s="12" t="n"/>
      <c r="X319" s="18">
        <f>IF($E319="","",IF(AND($B319&lt;&gt;"",ISNA(MATCH($B319,机构表,0))),"※机构不在【资料】里",IF(AND($D319&lt;&gt;"",ISNA(MATCH($D319,状态表,0))),"※状态不在【资料】里",IF(N($M319)&gt;N($L319),"※已还本金大于典当金额",IF(AND($I319&lt;&gt;"",$J319&lt;&gt;"",$J319&lt;$I319),"※到期日早于当票日期",IF(AND($H319&lt;&gt;"",COUNTIF($H$4:$H$403,$H319)&gt;1),"※当票号在本表里出现了不止一次",IF(AND($L319&lt;&gt;"",$E319=""),"※有金额没写客户","")))))))</f>
        <v/>
      </c>
    </row>
    <row r="320">
      <c r="A320" s="18">
        <f>IF($E320="","",COUNTA($E$4:$E320))</f>
        <v/>
      </c>
      <c r="B320" s="12" t="n"/>
      <c r="C320" s="12" t="n"/>
      <c r="D320" s="12" t="n"/>
      <c r="E320" s="12" t="n"/>
      <c r="F320" s="12" t="n"/>
      <c r="G320" s="12" t="n"/>
      <c r="H320" s="12" t="n"/>
      <c r="I320" s="19" t="n"/>
      <c r="J320" s="19" t="n"/>
      <c r="K320" s="19" t="n"/>
      <c r="L320" s="20" t="n"/>
      <c r="M320" s="20" t="n"/>
      <c r="N320" s="22">
        <f>IF($E320="","",ROUND(N($L320)-N($M320),2))</f>
        <v/>
      </c>
      <c r="O320" s="21" t="n"/>
      <c r="P320" s="20" t="n"/>
      <c r="Q320" s="12" t="n"/>
      <c r="R320" s="19" t="n"/>
      <c r="S320" s="20" t="n"/>
      <c r="T320" s="20" t="n"/>
      <c r="U320" s="20" t="n"/>
      <c r="V320" s="12" t="n"/>
      <c r="W320" s="12" t="n"/>
      <c r="X320" s="18">
        <f>IF($E320="","",IF(AND($B320&lt;&gt;"",ISNA(MATCH($B320,机构表,0))),"※机构不在【资料】里",IF(AND($D320&lt;&gt;"",ISNA(MATCH($D320,状态表,0))),"※状态不在【资料】里",IF(N($M320)&gt;N($L320),"※已还本金大于典当金额",IF(AND($I320&lt;&gt;"",$J320&lt;&gt;"",$J320&lt;$I320),"※到期日早于当票日期",IF(AND($H320&lt;&gt;"",COUNTIF($H$4:$H$403,$H320)&gt;1),"※当票号在本表里出现了不止一次",IF(AND($L320&lt;&gt;"",$E320=""),"※有金额没写客户","")))))))</f>
        <v/>
      </c>
    </row>
    <row r="321">
      <c r="A321" s="18">
        <f>IF($E321="","",COUNTA($E$4:$E321))</f>
        <v/>
      </c>
      <c r="B321" s="12" t="n"/>
      <c r="C321" s="12" t="n"/>
      <c r="D321" s="12" t="n"/>
      <c r="E321" s="12" t="n"/>
      <c r="F321" s="12" t="n"/>
      <c r="G321" s="12" t="n"/>
      <c r="H321" s="12" t="n"/>
      <c r="I321" s="19" t="n"/>
      <c r="J321" s="19" t="n"/>
      <c r="K321" s="19" t="n"/>
      <c r="L321" s="20" t="n"/>
      <c r="M321" s="20" t="n"/>
      <c r="N321" s="22">
        <f>IF($E321="","",ROUND(N($L321)-N($M321),2))</f>
        <v/>
      </c>
      <c r="O321" s="21" t="n"/>
      <c r="P321" s="20" t="n"/>
      <c r="Q321" s="12" t="n"/>
      <c r="R321" s="19" t="n"/>
      <c r="S321" s="20" t="n"/>
      <c r="T321" s="20" t="n"/>
      <c r="U321" s="20" t="n"/>
      <c r="V321" s="12" t="n"/>
      <c r="W321" s="12" t="n"/>
      <c r="X321" s="18">
        <f>IF($E321="","",IF(AND($B321&lt;&gt;"",ISNA(MATCH($B321,机构表,0))),"※机构不在【资料】里",IF(AND($D321&lt;&gt;"",ISNA(MATCH($D321,状态表,0))),"※状态不在【资料】里",IF(N($M321)&gt;N($L321),"※已还本金大于典当金额",IF(AND($I321&lt;&gt;"",$J321&lt;&gt;"",$J321&lt;$I321),"※到期日早于当票日期",IF(AND($H321&lt;&gt;"",COUNTIF($H$4:$H$403,$H321)&gt;1),"※当票号在本表里出现了不止一次",IF(AND($L321&lt;&gt;"",$E321=""),"※有金额没写客户","")))))))</f>
        <v/>
      </c>
    </row>
    <row r="322">
      <c r="A322" s="18">
        <f>IF($E322="","",COUNTA($E$4:$E322))</f>
        <v/>
      </c>
      <c r="B322" s="12" t="n"/>
      <c r="C322" s="12" t="n"/>
      <c r="D322" s="12" t="n"/>
      <c r="E322" s="12" t="n"/>
      <c r="F322" s="12" t="n"/>
      <c r="G322" s="12" t="n"/>
      <c r="H322" s="12" t="n"/>
      <c r="I322" s="19" t="n"/>
      <c r="J322" s="19" t="n"/>
      <c r="K322" s="19" t="n"/>
      <c r="L322" s="20" t="n"/>
      <c r="M322" s="20" t="n"/>
      <c r="N322" s="22">
        <f>IF($E322="","",ROUND(N($L322)-N($M322),2))</f>
        <v/>
      </c>
      <c r="O322" s="21" t="n"/>
      <c r="P322" s="20" t="n"/>
      <c r="Q322" s="12" t="n"/>
      <c r="R322" s="19" t="n"/>
      <c r="S322" s="20" t="n"/>
      <c r="T322" s="20" t="n"/>
      <c r="U322" s="20" t="n"/>
      <c r="V322" s="12" t="n"/>
      <c r="W322" s="12" t="n"/>
      <c r="X322" s="18">
        <f>IF($E322="","",IF(AND($B322&lt;&gt;"",ISNA(MATCH($B322,机构表,0))),"※机构不在【资料】里",IF(AND($D322&lt;&gt;"",ISNA(MATCH($D322,状态表,0))),"※状态不在【资料】里",IF(N($M322)&gt;N($L322),"※已还本金大于典当金额",IF(AND($I322&lt;&gt;"",$J322&lt;&gt;"",$J322&lt;$I322),"※到期日早于当票日期",IF(AND($H322&lt;&gt;"",COUNTIF($H$4:$H$403,$H322)&gt;1),"※当票号在本表里出现了不止一次",IF(AND($L322&lt;&gt;"",$E322=""),"※有金额没写客户","")))))))</f>
        <v/>
      </c>
    </row>
    <row r="323">
      <c r="A323" s="18">
        <f>IF($E323="","",COUNTA($E$4:$E323))</f>
        <v/>
      </c>
      <c r="B323" s="12" t="n"/>
      <c r="C323" s="12" t="n"/>
      <c r="D323" s="12" t="n"/>
      <c r="E323" s="12" t="n"/>
      <c r="F323" s="12" t="n"/>
      <c r="G323" s="12" t="n"/>
      <c r="H323" s="12" t="n"/>
      <c r="I323" s="19" t="n"/>
      <c r="J323" s="19" t="n"/>
      <c r="K323" s="19" t="n"/>
      <c r="L323" s="20" t="n"/>
      <c r="M323" s="20" t="n"/>
      <c r="N323" s="22">
        <f>IF($E323="","",ROUND(N($L323)-N($M323),2))</f>
        <v/>
      </c>
      <c r="O323" s="21" t="n"/>
      <c r="P323" s="20" t="n"/>
      <c r="Q323" s="12" t="n"/>
      <c r="R323" s="19" t="n"/>
      <c r="S323" s="20" t="n"/>
      <c r="T323" s="20" t="n"/>
      <c r="U323" s="20" t="n"/>
      <c r="V323" s="12" t="n"/>
      <c r="W323" s="12" t="n"/>
      <c r="X323" s="18">
        <f>IF($E323="","",IF(AND($B323&lt;&gt;"",ISNA(MATCH($B323,机构表,0))),"※机构不在【资料】里",IF(AND($D323&lt;&gt;"",ISNA(MATCH($D323,状态表,0))),"※状态不在【资料】里",IF(N($M323)&gt;N($L323),"※已还本金大于典当金额",IF(AND($I323&lt;&gt;"",$J323&lt;&gt;"",$J323&lt;$I323),"※到期日早于当票日期",IF(AND($H323&lt;&gt;"",COUNTIF($H$4:$H$403,$H323)&gt;1),"※当票号在本表里出现了不止一次",IF(AND($L323&lt;&gt;"",$E323=""),"※有金额没写客户","")))))))</f>
        <v/>
      </c>
    </row>
    <row r="324">
      <c r="A324" s="18">
        <f>IF($E324="","",COUNTA($E$4:$E324))</f>
        <v/>
      </c>
      <c r="B324" s="12" t="n"/>
      <c r="C324" s="12" t="n"/>
      <c r="D324" s="12" t="n"/>
      <c r="E324" s="12" t="n"/>
      <c r="F324" s="12" t="n"/>
      <c r="G324" s="12" t="n"/>
      <c r="H324" s="12" t="n"/>
      <c r="I324" s="19" t="n"/>
      <c r="J324" s="19" t="n"/>
      <c r="K324" s="19" t="n"/>
      <c r="L324" s="20" t="n"/>
      <c r="M324" s="20" t="n"/>
      <c r="N324" s="22">
        <f>IF($E324="","",ROUND(N($L324)-N($M324),2))</f>
        <v/>
      </c>
      <c r="O324" s="21" t="n"/>
      <c r="P324" s="20" t="n"/>
      <c r="Q324" s="12" t="n"/>
      <c r="R324" s="19" t="n"/>
      <c r="S324" s="20" t="n"/>
      <c r="T324" s="20" t="n"/>
      <c r="U324" s="20" t="n"/>
      <c r="V324" s="12" t="n"/>
      <c r="W324" s="12" t="n"/>
      <c r="X324" s="18">
        <f>IF($E324="","",IF(AND($B324&lt;&gt;"",ISNA(MATCH($B324,机构表,0))),"※机构不在【资料】里",IF(AND($D324&lt;&gt;"",ISNA(MATCH($D324,状态表,0))),"※状态不在【资料】里",IF(N($M324)&gt;N($L324),"※已还本金大于典当金额",IF(AND($I324&lt;&gt;"",$J324&lt;&gt;"",$J324&lt;$I324),"※到期日早于当票日期",IF(AND($H324&lt;&gt;"",COUNTIF($H$4:$H$403,$H324)&gt;1),"※当票号在本表里出现了不止一次",IF(AND($L324&lt;&gt;"",$E324=""),"※有金额没写客户","")))))))</f>
        <v/>
      </c>
    </row>
    <row r="325">
      <c r="A325" s="18">
        <f>IF($E325="","",COUNTA($E$4:$E325))</f>
        <v/>
      </c>
      <c r="B325" s="12" t="n"/>
      <c r="C325" s="12" t="n"/>
      <c r="D325" s="12" t="n"/>
      <c r="E325" s="12" t="n"/>
      <c r="F325" s="12" t="n"/>
      <c r="G325" s="12" t="n"/>
      <c r="H325" s="12" t="n"/>
      <c r="I325" s="19" t="n"/>
      <c r="J325" s="19" t="n"/>
      <c r="K325" s="19" t="n"/>
      <c r="L325" s="20" t="n"/>
      <c r="M325" s="20" t="n"/>
      <c r="N325" s="22">
        <f>IF($E325="","",ROUND(N($L325)-N($M325),2))</f>
        <v/>
      </c>
      <c r="O325" s="21" t="n"/>
      <c r="P325" s="20" t="n"/>
      <c r="Q325" s="12" t="n"/>
      <c r="R325" s="19" t="n"/>
      <c r="S325" s="20" t="n"/>
      <c r="T325" s="20" t="n"/>
      <c r="U325" s="20" t="n"/>
      <c r="V325" s="12" t="n"/>
      <c r="W325" s="12" t="n"/>
      <c r="X325" s="18">
        <f>IF($E325="","",IF(AND($B325&lt;&gt;"",ISNA(MATCH($B325,机构表,0))),"※机构不在【资料】里",IF(AND($D325&lt;&gt;"",ISNA(MATCH($D325,状态表,0))),"※状态不在【资料】里",IF(N($M325)&gt;N($L325),"※已还本金大于典当金额",IF(AND($I325&lt;&gt;"",$J325&lt;&gt;"",$J325&lt;$I325),"※到期日早于当票日期",IF(AND($H325&lt;&gt;"",COUNTIF($H$4:$H$403,$H325)&gt;1),"※当票号在本表里出现了不止一次",IF(AND($L325&lt;&gt;"",$E325=""),"※有金额没写客户","")))))))</f>
        <v/>
      </c>
    </row>
    <row r="326">
      <c r="A326" s="18">
        <f>IF($E326="","",COUNTA($E$4:$E326))</f>
        <v/>
      </c>
      <c r="B326" s="12" t="n"/>
      <c r="C326" s="12" t="n"/>
      <c r="D326" s="12" t="n"/>
      <c r="E326" s="12" t="n"/>
      <c r="F326" s="12" t="n"/>
      <c r="G326" s="12" t="n"/>
      <c r="H326" s="12" t="n"/>
      <c r="I326" s="19" t="n"/>
      <c r="J326" s="19" t="n"/>
      <c r="K326" s="19" t="n"/>
      <c r="L326" s="20" t="n"/>
      <c r="M326" s="20" t="n"/>
      <c r="N326" s="22">
        <f>IF($E326="","",ROUND(N($L326)-N($M326),2))</f>
        <v/>
      </c>
      <c r="O326" s="21" t="n"/>
      <c r="P326" s="20" t="n"/>
      <c r="Q326" s="12" t="n"/>
      <c r="R326" s="19" t="n"/>
      <c r="S326" s="20" t="n"/>
      <c r="T326" s="20" t="n"/>
      <c r="U326" s="20" t="n"/>
      <c r="V326" s="12" t="n"/>
      <c r="W326" s="12" t="n"/>
      <c r="X326" s="18">
        <f>IF($E326="","",IF(AND($B326&lt;&gt;"",ISNA(MATCH($B326,机构表,0))),"※机构不在【资料】里",IF(AND($D326&lt;&gt;"",ISNA(MATCH($D326,状态表,0))),"※状态不在【资料】里",IF(N($M326)&gt;N($L326),"※已还本金大于典当金额",IF(AND($I326&lt;&gt;"",$J326&lt;&gt;"",$J326&lt;$I326),"※到期日早于当票日期",IF(AND($H326&lt;&gt;"",COUNTIF($H$4:$H$403,$H326)&gt;1),"※当票号在本表里出现了不止一次",IF(AND($L326&lt;&gt;"",$E326=""),"※有金额没写客户","")))))))</f>
        <v/>
      </c>
    </row>
    <row r="327">
      <c r="A327" s="18">
        <f>IF($E327="","",COUNTA($E$4:$E327))</f>
        <v/>
      </c>
      <c r="B327" s="12" t="n"/>
      <c r="C327" s="12" t="n"/>
      <c r="D327" s="12" t="n"/>
      <c r="E327" s="12" t="n"/>
      <c r="F327" s="12" t="n"/>
      <c r="G327" s="12" t="n"/>
      <c r="H327" s="12" t="n"/>
      <c r="I327" s="19" t="n"/>
      <c r="J327" s="19" t="n"/>
      <c r="K327" s="19" t="n"/>
      <c r="L327" s="20" t="n"/>
      <c r="M327" s="20" t="n"/>
      <c r="N327" s="22">
        <f>IF($E327="","",ROUND(N($L327)-N($M327),2))</f>
        <v/>
      </c>
      <c r="O327" s="21" t="n"/>
      <c r="P327" s="20" t="n"/>
      <c r="Q327" s="12" t="n"/>
      <c r="R327" s="19" t="n"/>
      <c r="S327" s="20" t="n"/>
      <c r="T327" s="20" t="n"/>
      <c r="U327" s="20" t="n"/>
      <c r="V327" s="12" t="n"/>
      <c r="W327" s="12" t="n"/>
      <c r="X327" s="18">
        <f>IF($E327="","",IF(AND($B327&lt;&gt;"",ISNA(MATCH($B327,机构表,0))),"※机构不在【资料】里",IF(AND($D327&lt;&gt;"",ISNA(MATCH($D327,状态表,0))),"※状态不在【资料】里",IF(N($M327)&gt;N($L327),"※已还本金大于典当金额",IF(AND($I327&lt;&gt;"",$J327&lt;&gt;"",$J327&lt;$I327),"※到期日早于当票日期",IF(AND($H327&lt;&gt;"",COUNTIF($H$4:$H$403,$H327)&gt;1),"※当票号在本表里出现了不止一次",IF(AND($L327&lt;&gt;"",$E327=""),"※有金额没写客户","")))))))</f>
        <v/>
      </c>
    </row>
    <row r="328">
      <c r="A328" s="18">
        <f>IF($E328="","",COUNTA($E$4:$E328))</f>
        <v/>
      </c>
      <c r="B328" s="12" t="n"/>
      <c r="C328" s="12" t="n"/>
      <c r="D328" s="12" t="n"/>
      <c r="E328" s="12" t="n"/>
      <c r="F328" s="12" t="n"/>
      <c r="G328" s="12" t="n"/>
      <c r="H328" s="12" t="n"/>
      <c r="I328" s="19" t="n"/>
      <c r="J328" s="19" t="n"/>
      <c r="K328" s="19" t="n"/>
      <c r="L328" s="20" t="n"/>
      <c r="M328" s="20" t="n"/>
      <c r="N328" s="22">
        <f>IF($E328="","",ROUND(N($L328)-N($M328),2))</f>
        <v/>
      </c>
      <c r="O328" s="21" t="n"/>
      <c r="P328" s="20" t="n"/>
      <c r="Q328" s="12" t="n"/>
      <c r="R328" s="19" t="n"/>
      <c r="S328" s="20" t="n"/>
      <c r="T328" s="20" t="n"/>
      <c r="U328" s="20" t="n"/>
      <c r="V328" s="12" t="n"/>
      <c r="W328" s="12" t="n"/>
      <c r="X328" s="18">
        <f>IF($E328="","",IF(AND($B328&lt;&gt;"",ISNA(MATCH($B328,机构表,0))),"※机构不在【资料】里",IF(AND($D328&lt;&gt;"",ISNA(MATCH($D328,状态表,0))),"※状态不在【资料】里",IF(N($M328)&gt;N($L328),"※已还本金大于典当金额",IF(AND($I328&lt;&gt;"",$J328&lt;&gt;"",$J328&lt;$I328),"※到期日早于当票日期",IF(AND($H328&lt;&gt;"",COUNTIF($H$4:$H$403,$H328)&gt;1),"※当票号在本表里出现了不止一次",IF(AND($L328&lt;&gt;"",$E328=""),"※有金额没写客户","")))))))</f>
        <v/>
      </c>
    </row>
    <row r="329">
      <c r="A329" s="18">
        <f>IF($E329="","",COUNTA($E$4:$E329))</f>
        <v/>
      </c>
      <c r="B329" s="12" t="n"/>
      <c r="C329" s="12" t="n"/>
      <c r="D329" s="12" t="n"/>
      <c r="E329" s="12" t="n"/>
      <c r="F329" s="12" t="n"/>
      <c r="G329" s="12" t="n"/>
      <c r="H329" s="12" t="n"/>
      <c r="I329" s="19" t="n"/>
      <c r="J329" s="19" t="n"/>
      <c r="K329" s="19" t="n"/>
      <c r="L329" s="20" t="n"/>
      <c r="M329" s="20" t="n"/>
      <c r="N329" s="22">
        <f>IF($E329="","",ROUND(N($L329)-N($M329),2))</f>
        <v/>
      </c>
      <c r="O329" s="21" t="n"/>
      <c r="P329" s="20" t="n"/>
      <c r="Q329" s="12" t="n"/>
      <c r="R329" s="19" t="n"/>
      <c r="S329" s="20" t="n"/>
      <c r="T329" s="20" t="n"/>
      <c r="U329" s="20" t="n"/>
      <c r="V329" s="12" t="n"/>
      <c r="W329" s="12" t="n"/>
      <c r="X329" s="18">
        <f>IF($E329="","",IF(AND($B329&lt;&gt;"",ISNA(MATCH($B329,机构表,0))),"※机构不在【资料】里",IF(AND($D329&lt;&gt;"",ISNA(MATCH($D329,状态表,0))),"※状态不在【资料】里",IF(N($M329)&gt;N($L329),"※已还本金大于典当金额",IF(AND($I329&lt;&gt;"",$J329&lt;&gt;"",$J329&lt;$I329),"※到期日早于当票日期",IF(AND($H329&lt;&gt;"",COUNTIF($H$4:$H$403,$H329)&gt;1),"※当票号在本表里出现了不止一次",IF(AND($L329&lt;&gt;"",$E329=""),"※有金额没写客户","")))))))</f>
        <v/>
      </c>
    </row>
    <row r="330">
      <c r="A330" s="18">
        <f>IF($E330="","",COUNTA($E$4:$E330))</f>
        <v/>
      </c>
      <c r="B330" s="12" t="n"/>
      <c r="C330" s="12" t="n"/>
      <c r="D330" s="12" t="n"/>
      <c r="E330" s="12" t="n"/>
      <c r="F330" s="12" t="n"/>
      <c r="G330" s="12" t="n"/>
      <c r="H330" s="12" t="n"/>
      <c r="I330" s="19" t="n"/>
      <c r="J330" s="19" t="n"/>
      <c r="K330" s="19" t="n"/>
      <c r="L330" s="20" t="n"/>
      <c r="M330" s="20" t="n"/>
      <c r="N330" s="22">
        <f>IF($E330="","",ROUND(N($L330)-N($M330),2))</f>
        <v/>
      </c>
      <c r="O330" s="21" t="n"/>
      <c r="P330" s="20" t="n"/>
      <c r="Q330" s="12" t="n"/>
      <c r="R330" s="19" t="n"/>
      <c r="S330" s="20" t="n"/>
      <c r="T330" s="20" t="n"/>
      <c r="U330" s="20" t="n"/>
      <c r="V330" s="12" t="n"/>
      <c r="W330" s="12" t="n"/>
      <c r="X330" s="18">
        <f>IF($E330="","",IF(AND($B330&lt;&gt;"",ISNA(MATCH($B330,机构表,0))),"※机构不在【资料】里",IF(AND($D330&lt;&gt;"",ISNA(MATCH($D330,状态表,0))),"※状态不在【资料】里",IF(N($M330)&gt;N($L330),"※已还本金大于典当金额",IF(AND($I330&lt;&gt;"",$J330&lt;&gt;"",$J330&lt;$I330),"※到期日早于当票日期",IF(AND($H330&lt;&gt;"",COUNTIF($H$4:$H$403,$H330)&gt;1),"※当票号在本表里出现了不止一次",IF(AND($L330&lt;&gt;"",$E330=""),"※有金额没写客户","")))))))</f>
        <v/>
      </c>
    </row>
    <row r="331">
      <c r="A331" s="18">
        <f>IF($E331="","",COUNTA($E$4:$E331))</f>
        <v/>
      </c>
      <c r="B331" s="12" t="n"/>
      <c r="C331" s="12" t="n"/>
      <c r="D331" s="12" t="n"/>
      <c r="E331" s="12" t="n"/>
      <c r="F331" s="12" t="n"/>
      <c r="G331" s="12" t="n"/>
      <c r="H331" s="12" t="n"/>
      <c r="I331" s="19" t="n"/>
      <c r="J331" s="19" t="n"/>
      <c r="K331" s="19" t="n"/>
      <c r="L331" s="20" t="n"/>
      <c r="M331" s="20" t="n"/>
      <c r="N331" s="22">
        <f>IF($E331="","",ROUND(N($L331)-N($M331),2))</f>
        <v/>
      </c>
      <c r="O331" s="21" t="n"/>
      <c r="P331" s="20" t="n"/>
      <c r="Q331" s="12" t="n"/>
      <c r="R331" s="19" t="n"/>
      <c r="S331" s="20" t="n"/>
      <c r="T331" s="20" t="n"/>
      <c r="U331" s="20" t="n"/>
      <c r="V331" s="12" t="n"/>
      <c r="W331" s="12" t="n"/>
      <c r="X331" s="18">
        <f>IF($E331="","",IF(AND($B331&lt;&gt;"",ISNA(MATCH($B331,机构表,0))),"※机构不在【资料】里",IF(AND($D331&lt;&gt;"",ISNA(MATCH($D331,状态表,0))),"※状态不在【资料】里",IF(N($M331)&gt;N($L331),"※已还本金大于典当金额",IF(AND($I331&lt;&gt;"",$J331&lt;&gt;"",$J331&lt;$I331),"※到期日早于当票日期",IF(AND($H331&lt;&gt;"",COUNTIF($H$4:$H$403,$H331)&gt;1),"※当票号在本表里出现了不止一次",IF(AND($L331&lt;&gt;"",$E331=""),"※有金额没写客户","")))))))</f>
        <v/>
      </c>
    </row>
    <row r="332">
      <c r="A332" s="18">
        <f>IF($E332="","",COUNTA($E$4:$E332))</f>
        <v/>
      </c>
      <c r="B332" s="12" t="n"/>
      <c r="C332" s="12" t="n"/>
      <c r="D332" s="12" t="n"/>
      <c r="E332" s="12" t="n"/>
      <c r="F332" s="12" t="n"/>
      <c r="G332" s="12" t="n"/>
      <c r="H332" s="12" t="n"/>
      <c r="I332" s="19" t="n"/>
      <c r="J332" s="19" t="n"/>
      <c r="K332" s="19" t="n"/>
      <c r="L332" s="20" t="n"/>
      <c r="M332" s="20" t="n"/>
      <c r="N332" s="22">
        <f>IF($E332="","",ROUND(N($L332)-N($M332),2))</f>
        <v/>
      </c>
      <c r="O332" s="21" t="n"/>
      <c r="P332" s="20" t="n"/>
      <c r="Q332" s="12" t="n"/>
      <c r="R332" s="19" t="n"/>
      <c r="S332" s="20" t="n"/>
      <c r="T332" s="20" t="n"/>
      <c r="U332" s="20" t="n"/>
      <c r="V332" s="12" t="n"/>
      <c r="W332" s="12" t="n"/>
      <c r="X332" s="18">
        <f>IF($E332="","",IF(AND($B332&lt;&gt;"",ISNA(MATCH($B332,机构表,0))),"※机构不在【资料】里",IF(AND($D332&lt;&gt;"",ISNA(MATCH($D332,状态表,0))),"※状态不在【资料】里",IF(N($M332)&gt;N($L332),"※已还本金大于典当金额",IF(AND($I332&lt;&gt;"",$J332&lt;&gt;"",$J332&lt;$I332),"※到期日早于当票日期",IF(AND($H332&lt;&gt;"",COUNTIF($H$4:$H$403,$H332)&gt;1),"※当票号在本表里出现了不止一次",IF(AND($L332&lt;&gt;"",$E332=""),"※有金额没写客户","")))))))</f>
        <v/>
      </c>
    </row>
    <row r="333">
      <c r="A333" s="18">
        <f>IF($E333="","",COUNTA($E$4:$E333))</f>
        <v/>
      </c>
      <c r="B333" s="12" t="n"/>
      <c r="C333" s="12" t="n"/>
      <c r="D333" s="12" t="n"/>
      <c r="E333" s="12" t="n"/>
      <c r="F333" s="12" t="n"/>
      <c r="G333" s="12" t="n"/>
      <c r="H333" s="12" t="n"/>
      <c r="I333" s="19" t="n"/>
      <c r="J333" s="19" t="n"/>
      <c r="K333" s="19" t="n"/>
      <c r="L333" s="20" t="n"/>
      <c r="M333" s="20" t="n"/>
      <c r="N333" s="22">
        <f>IF($E333="","",ROUND(N($L333)-N($M333),2))</f>
        <v/>
      </c>
      <c r="O333" s="21" t="n"/>
      <c r="P333" s="20" t="n"/>
      <c r="Q333" s="12" t="n"/>
      <c r="R333" s="19" t="n"/>
      <c r="S333" s="20" t="n"/>
      <c r="T333" s="20" t="n"/>
      <c r="U333" s="20" t="n"/>
      <c r="V333" s="12" t="n"/>
      <c r="W333" s="12" t="n"/>
      <c r="X333" s="18">
        <f>IF($E333="","",IF(AND($B333&lt;&gt;"",ISNA(MATCH($B333,机构表,0))),"※机构不在【资料】里",IF(AND($D333&lt;&gt;"",ISNA(MATCH($D333,状态表,0))),"※状态不在【资料】里",IF(N($M333)&gt;N($L333),"※已还本金大于典当金额",IF(AND($I333&lt;&gt;"",$J333&lt;&gt;"",$J333&lt;$I333),"※到期日早于当票日期",IF(AND($H333&lt;&gt;"",COUNTIF($H$4:$H$403,$H333)&gt;1),"※当票号在本表里出现了不止一次",IF(AND($L333&lt;&gt;"",$E333=""),"※有金额没写客户","")))))))</f>
        <v/>
      </c>
    </row>
    <row r="334">
      <c r="A334" s="18">
        <f>IF($E334="","",COUNTA($E$4:$E334))</f>
        <v/>
      </c>
      <c r="B334" s="12" t="n"/>
      <c r="C334" s="12" t="n"/>
      <c r="D334" s="12" t="n"/>
      <c r="E334" s="12" t="n"/>
      <c r="F334" s="12" t="n"/>
      <c r="G334" s="12" t="n"/>
      <c r="H334" s="12" t="n"/>
      <c r="I334" s="19" t="n"/>
      <c r="J334" s="19" t="n"/>
      <c r="K334" s="19" t="n"/>
      <c r="L334" s="20" t="n"/>
      <c r="M334" s="20" t="n"/>
      <c r="N334" s="22">
        <f>IF($E334="","",ROUND(N($L334)-N($M334),2))</f>
        <v/>
      </c>
      <c r="O334" s="21" t="n"/>
      <c r="P334" s="20" t="n"/>
      <c r="Q334" s="12" t="n"/>
      <c r="R334" s="19" t="n"/>
      <c r="S334" s="20" t="n"/>
      <c r="T334" s="20" t="n"/>
      <c r="U334" s="20" t="n"/>
      <c r="V334" s="12" t="n"/>
      <c r="W334" s="12" t="n"/>
      <c r="X334" s="18">
        <f>IF($E334="","",IF(AND($B334&lt;&gt;"",ISNA(MATCH($B334,机构表,0))),"※机构不在【资料】里",IF(AND($D334&lt;&gt;"",ISNA(MATCH($D334,状态表,0))),"※状态不在【资料】里",IF(N($M334)&gt;N($L334),"※已还本金大于典当金额",IF(AND($I334&lt;&gt;"",$J334&lt;&gt;"",$J334&lt;$I334),"※到期日早于当票日期",IF(AND($H334&lt;&gt;"",COUNTIF($H$4:$H$403,$H334)&gt;1),"※当票号在本表里出现了不止一次",IF(AND($L334&lt;&gt;"",$E334=""),"※有金额没写客户","")))))))</f>
        <v/>
      </c>
    </row>
    <row r="335">
      <c r="A335" s="18">
        <f>IF($E335="","",COUNTA($E$4:$E335))</f>
        <v/>
      </c>
      <c r="B335" s="12" t="n"/>
      <c r="C335" s="12" t="n"/>
      <c r="D335" s="12" t="n"/>
      <c r="E335" s="12" t="n"/>
      <c r="F335" s="12" t="n"/>
      <c r="G335" s="12" t="n"/>
      <c r="H335" s="12" t="n"/>
      <c r="I335" s="19" t="n"/>
      <c r="J335" s="19" t="n"/>
      <c r="K335" s="19" t="n"/>
      <c r="L335" s="20" t="n"/>
      <c r="M335" s="20" t="n"/>
      <c r="N335" s="22">
        <f>IF($E335="","",ROUND(N($L335)-N($M335),2))</f>
        <v/>
      </c>
      <c r="O335" s="21" t="n"/>
      <c r="P335" s="20" t="n"/>
      <c r="Q335" s="12" t="n"/>
      <c r="R335" s="19" t="n"/>
      <c r="S335" s="20" t="n"/>
      <c r="T335" s="20" t="n"/>
      <c r="U335" s="20" t="n"/>
      <c r="V335" s="12" t="n"/>
      <c r="W335" s="12" t="n"/>
      <c r="X335" s="18">
        <f>IF($E335="","",IF(AND($B335&lt;&gt;"",ISNA(MATCH($B335,机构表,0))),"※机构不在【资料】里",IF(AND($D335&lt;&gt;"",ISNA(MATCH($D335,状态表,0))),"※状态不在【资料】里",IF(N($M335)&gt;N($L335),"※已还本金大于典当金额",IF(AND($I335&lt;&gt;"",$J335&lt;&gt;"",$J335&lt;$I335),"※到期日早于当票日期",IF(AND($H335&lt;&gt;"",COUNTIF($H$4:$H$403,$H335)&gt;1),"※当票号在本表里出现了不止一次",IF(AND($L335&lt;&gt;"",$E335=""),"※有金额没写客户","")))))))</f>
        <v/>
      </c>
    </row>
    <row r="336">
      <c r="A336" s="18">
        <f>IF($E336="","",COUNTA($E$4:$E336))</f>
        <v/>
      </c>
      <c r="B336" s="12" t="n"/>
      <c r="C336" s="12" t="n"/>
      <c r="D336" s="12" t="n"/>
      <c r="E336" s="12" t="n"/>
      <c r="F336" s="12" t="n"/>
      <c r="G336" s="12" t="n"/>
      <c r="H336" s="12" t="n"/>
      <c r="I336" s="19" t="n"/>
      <c r="J336" s="19" t="n"/>
      <c r="K336" s="19" t="n"/>
      <c r="L336" s="20" t="n"/>
      <c r="M336" s="20" t="n"/>
      <c r="N336" s="22">
        <f>IF($E336="","",ROUND(N($L336)-N($M336),2))</f>
        <v/>
      </c>
      <c r="O336" s="21" t="n"/>
      <c r="P336" s="20" t="n"/>
      <c r="Q336" s="12" t="n"/>
      <c r="R336" s="19" t="n"/>
      <c r="S336" s="20" t="n"/>
      <c r="T336" s="20" t="n"/>
      <c r="U336" s="20" t="n"/>
      <c r="V336" s="12" t="n"/>
      <c r="W336" s="12" t="n"/>
      <c r="X336" s="18">
        <f>IF($E336="","",IF(AND($B336&lt;&gt;"",ISNA(MATCH($B336,机构表,0))),"※机构不在【资料】里",IF(AND($D336&lt;&gt;"",ISNA(MATCH($D336,状态表,0))),"※状态不在【资料】里",IF(N($M336)&gt;N($L336),"※已还本金大于典当金额",IF(AND($I336&lt;&gt;"",$J336&lt;&gt;"",$J336&lt;$I336),"※到期日早于当票日期",IF(AND($H336&lt;&gt;"",COUNTIF($H$4:$H$403,$H336)&gt;1),"※当票号在本表里出现了不止一次",IF(AND($L336&lt;&gt;"",$E336=""),"※有金额没写客户","")))))))</f>
        <v/>
      </c>
    </row>
    <row r="337">
      <c r="A337" s="18">
        <f>IF($E337="","",COUNTA($E$4:$E337))</f>
        <v/>
      </c>
      <c r="B337" s="12" t="n"/>
      <c r="C337" s="12" t="n"/>
      <c r="D337" s="12" t="n"/>
      <c r="E337" s="12" t="n"/>
      <c r="F337" s="12" t="n"/>
      <c r="G337" s="12" t="n"/>
      <c r="H337" s="12" t="n"/>
      <c r="I337" s="19" t="n"/>
      <c r="J337" s="19" t="n"/>
      <c r="K337" s="19" t="n"/>
      <c r="L337" s="20" t="n"/>
      <c r="M337" s="20" t="n"/>
      <c r="N337" s="22">
        <f>IF($E337="","",ROUND(N($L337)-N($M337),2))</f>
        <v/>
      </c>
      <c r="O337" s="21" t="n"/>
      <c r="P337" s="20" t="n"/>
      <c r="Q337" s="12" t="n"/>
      <c r="R337" s="19" t="n"/>
      <c r="S337" s="20" t="n"/>
      <c r="T337" s="20" t="n"/>
      <c r="U337" s="20" t="n"/>
      <c r="V337" s="12" t="n"/>
      <c r="W337" s="12" t="n"/>
      <c r="X337" s="18">
        <f>IF($E337="","",IF(AND($B337&lt;&gt;"",ISNA(MATCH($B337,机构表,0))),"※机构不在【资料】里",IF(AND($D337&lt;&gt;"",ISNA(MATCH($D337,状态表,0))),"※状态不在【资料】里",IF(N($M337)&gt;N($L337),"※已还本金大于典当金额",IF(AND($I337&lt;&gt;"",$J337&lt;&gt;"",$J337&lt;$I337),"※到期日早于当票日期",IF(AND($H337&lt;&gt;"",COUNTIF($H$4:$H$403,$H337)&gt;1),"※当票号在本表里出现了不止一次",IF(AND($L337&lt;&gt;"",$E337=""),"※有金额没写客户","")))))))</f>
        <v/>
      </c>
    </row>
    <row r="338">
      <c r="A338" s="18">
        <f>IF($E338="","",COUNTA($E$4:$E338))</f>
        <v/>
      </c>
      <c r="B338" s="12" t="n"/>
      <c r="C338" s="12" t="n"/>
      <c r="D338" s="12" t="n"/>
      <c r="E338" s="12" t="n"/>
      <c r="F338" s="12" t="n"/>
      <c r="G338" s="12" t="n"/>
      <c r="H338" s="12" t="n"/>
      <c r="I338" s="19" t="n"/>
      <c r="J338" s="19" t="n"/>
      <c r="K338" s="19" t="n"/>
      <c r="L338" s="20" t="n"/>
      <c r="M338" s="20" t="n"/>
      <c r="N338" s="22">
        <f>IF($E338="","",ROUND(N($L338)-N($M338),2))</f>
        <v/>
      </c>
      <c r="O338" s="21" t="n"/>
      <c r="P338" s="20" t="n"/>
      <c r="Q338" s="12" t="n"/>
      <c r="R338" s="19" t="n"/>
      <c r="S338" s="20" t="n"/>
      <c r="T338" s="20" t="n"/>
      <c r="U338" s="20" t="n"/>
      <c r="V338" s="12" t="n"/>
      <c r="W338" s="12" t="n"/>
      <c r="X338" s="18">
        <f>IF($E338="","",IF(AND($B338&lt;&gt;"",ISNA(MATCH($B338,机构表,0))),"※机构不在【资料】里",IF(AND($D338&lt;&gt;"",ISNA(MATCH($D338,状态表,0))),"※状态不在【资料】里",IF(N($M338)&gt;N($L338),"※已还本金大于典当金额",IF(AND($I338&lt;&gt;"",$J338&lt;&gt;"",$J338&lt;$I338),"※到期日早于当票日期",IF(AND($H338&lt;&gt;"",COUNTIF($H$4:$H$403,$H338)&gt;1),"※当票号在本表里出现了不止一次",IF(AND($L338&lt;&gt;"",$E338=""),"※有金额没写客户","")))))))</f>
        <v/>
      </c>
    </row>
    <row r="339">
      <c r="A339" s="18">
        <f>IF($E339="","",COUNTA($E$4:$E339))</f>
        <v/>
      </c>
      <c r="B339" s="12" t="n"/>
      <c r="C339" s="12" t="n"/>
      <c r="D339" s="12" t="n"/>
      <c r="E339" s="12" t="n"/>
      <c r="F339" s="12" t="n"/>
      <c r="G339" s="12" t="n"/>
      <c r="H339" s="12" t="n"/>
      <c r="I339" s="19" t="n"/>
      <c r="J339" s="19" t="n"/>
      <c r="K339" s="19" t="n"/>
      <c r="L339" s="20" t="n"/>
      <c r="M339" s="20" t="n"/>
      <c r="N339" s="22">
        <f>IF($E339="","",ROUND(N($L339)-N($M339),2))</f>
        <v/>
      </c>
      <c r="O339" s="21" t="n"/>
      <c r="P339" s="20" t="n"/>
      <c r="Q339" s="12" t="n"/>
      <c r="R339" s="19" t="n"/>
      <c r="S339" s="20" t="n"/>
      <c r="T339" s="20" t="n"/>
      <c r="U339" s="20" t="n"/>
      <c r="V339" s="12" t="n"/>
      <c r="W339" s="12" t="n"/>
      <c r="X339" s="18">
        <f>IF($E339="","",IF(AND($B339&lt;&gt;"",ISNA(MATCH($B339,机构表,0))),"※机构不在【资料】里",IF(AND($D339&lt;&gt;"",ISNA(MATCH($D339,状态表,0))),"※状态不在【资料】里",IF(N($M339)&gt;N($L339),"※已还本金大于典当金额",IF(AND($I339&lt;&gt;"",$J339&lt;&gt;"",$J339&lt;$I339),"※到期日早于当票日期",IF(AND($H339&lt;&gt;"",COUNTIF($H$4:$H$403,$H339)&gt;1),"※当票号在本表里出现了不止一次",IF(AND($L339&lt;&gt;"",$E339=""),"※有金额没写客户","")))))))</f>
        <v/>
      </c>
    </row>
    <row r="340">
      <c r="A340" s="18">
        <f>IF($E340="","",COUNTA($E$4:$E340))</f>
        <v/>
      </c>
      <c r="B340" s="12" t="n"/>
      <c r="C340" s="12" t="n"/>
      <c r="D340" s="12" t="n"/>
      <c r="E340" s="12" t="n"/>
      <c r="F340" s="12" t="n"/>
      <c r="G340" s="12" t="n"/>
      <c r="H340" s="12" t="n"/>
      <c r="I340" s="19" t="n"/>
      <c r="J340" s="19" t="n"/>
      <c r="K340" s="19" t="n"/>
      <c r="L340" s="20" t="n"/>
      <c r="M340" s="20" t="n"/>
      <c r="N340" s="22">
        <f>IF($E340="","",ROUND(N($L340)-N($M340),2))</f>
        <v/>
      </c>
      <c r="O340" s="21" t="n"/>
      <c r="P340" s="20" t="n"/>
      <c r="Q340" s="12" t="n"/>
      <c r="R340" s="19" t="n"/>
      <c r="S340" s="20" t="n"/>
      <c r="T340" s="20" t="n"/>
      <c r="U340" s="20" t="n"/>
      <c r="V340" s="12" t="n"/>
      <c r="W340" s="12" t="n"/>
      <c r="X340" s="18">
        <f>IF($E340="","",IF(AND($B340&lt;&gt;"",ISNA(MATCH($B340,机构表,0))),"※机构不在【资料】里",IF(AND($D340&lt;&gt;"",ISNA(MATCH($D340,状态表,0))),"※状态不在【资料】里",IF(N($M340)&gt;N($L340),"※已还本金大于典当金额",IF(AND($I340&lt;&gt;"",$J340&lt;&gt;"",$J340&lt;$I340),"※到期日早于当票日期",IF(AND($H340&lt;&gt;"",COUNTIF($H$4:$H$403,$H340)&gt;1),"※当票号在本表里出现了不止一次",IF(AND($L340&lt;&gt;"",$E340=""),"※有金额没写客户","")))))))</f>
        <v/>
      </c>
    </row>
    <row r="341">
      <c r="A341" s="18">
        <f>IF($E341="","",COUNTA($E$4:$E341))</f>
        <v/>
      </c>
      <c r="B341" s="12" t="n"/>
      <c r="C341" s="12" t="n"/>
      <c r="D341" s="12" t="n"/>
      <c r="E341" s="12" t="n"/>
      <c r="F341" s="12" t="n"/>
      <c r="G341" s="12" t="n"/>
      <c r="H341" s="12" t="n"/>
      <c r="I341" s="19" t="n"/>
      <c r="J341" s="19" t="n"/>
      <c r="K341" s="19" t="n"/>
      <c r="L341" s="20" t="n"/>
      <c r="M341" s="20" t="n"/>
      <c r="N341" s="22">
        <f>IF($E341="","",ROUND(N($L341)-N($M341),2))</f>
        <v/>
      </c>
      <c r="O341" s="21" t="n"/>
      <c r="P341" s="20" t="n"/>
      <c r="Q341" s="12" t="n"/>
      <c r="R341" s="19" t="n"/>
      <c r="S341" s="20" t="n"/>
      <c r="T341" s="20" t="n"/>
      <c r="U341" s="20" t="n"/>
      <c r="V341" s="12" t="n"/>
      <c r="W341" s="12" t="n"/>
      <c r="X341" s="18">
        <f>IF($E341="","",IF(AND($B341&lt;&gt;"",ISNA(MATCH($B341,机构表,0))),"※机构不在【资料】里",IF(AND($D341&lt;&gt;"",ISNA(MATCH($D341,状态表,0))),"※状态不在【资料】里",IF(N($M341)&gt;N($L341),"※已还本金大于典当金额",IF(AND($I341&lt;&gt;"",$J341&lt;&gt;"",$J341&lt;$I341),"※到期日早于当票日期",IF(AND($H341&lt;&gt;"",COUNTIF($H$4:$H$403,$H341)&gt;1),"※当票号在本表里出现了不止一次",IF(AND($L341&lt;&gt;"",$E341=""),"※有金额没写客户","")))))))</f>
        <v/>
      </c>
    </row>
    <row r="342">
      <c r="A342" s="18">
        <f>IF($E342="","",COUNTA($E$4:$E342))</f>
        <v/>
      </c>
      <c r="B342" s="12" t="n"/>
      <c r="C342" s="12" t="n"/>
      <c r="D342" s="12" t="n"/>
      <c r="E342" s="12" t="n"/>
      <c r="F342" s="12" t="n"/>
      <c r="G342" s="12" t="n"/>
      <c r="H342" s="12" t="n"/>
      <c r="I342" s="19" t="n"/>
      <c r="J342" s="19" t="n"/>
      <c r="K342" s="19" t="n"/>
      <c r="L342" s="20" t="n"/>
      <c r="M342" s="20" t="n"/>
      <c r="N342" s="22">
        <f>IF($E342="","",ROUND(N($L342)-N($M342),2))</f>
        <v/>
      </c>
      <c r="O342" s="21" t="n"/>
      <c r="P342" s="20" t="n"/>
      <c r="Q342" s="12" t="n"/>
      <c r="R342" s="19" t="n"/>
      <c r="S342" s="20" t="n"/>
      <c r="T342" s="20" t="n"/>
      <c r="U342" s="20" t="n"/>
      <c r="V342" s="12" t="n"/>
      <c r="W342" s="12" t="n"/>
      <c r="X342" s="18">
        <f>IF($E342="","",IF(AND($B342&lt;&gt;"",ISNA(MATCH($B342,机构表,0))),"※机构不在【资料】里",IF(AND($D342&lt;&gt;"",ISNA(MATCH($D342,状态表,0))),"※状态不在【资料】里",IF(N($M342)&gt;N($L342),"※已还本金大于典当金额",IF(AND($I342&lt;&gt;"",$J342&lt;&gt;"",$J342&lt;$I342),"※到期日早于当票日期",IF(AND($H342&lt;&gt;"",COUNTIF($H$4:$H$403,$H342)&gt;1),"※当票号在本表里出现了不止一次",IF(AND($L342&lt;&gt;"",$E342=""),"※有金额没写客户","")))))))</f>
        <v/>
      </c>
    </row>
    <row r="343">
      <c r="A343" s="18">
        <f>IF($E343="","",COUNTA($E$4:$E343))</f>
        <v/>
      </c>
      <c r="B343" s="12" t="n"/>
      <c r="C343" s="12" t="n"/>
      <c r="D343" s="12" t="n"/>
      <c r="E343" s="12" t="n"/>
      <c r="F343" s="12" t="n"/>
      <c r="G343" s="12" t="n"/>
      <c r="H343" s="12" t="n"/>
      <c r="I343" s="19" t="n"/>
      <c r="J343" s="19" t="n"/>
      <c r="K343" s="19" t="n"/>
      <c r="L343" s="20" t="n"/>
      <c r="M343" s="20" t="n"/>
      <c r="N343" s="22">
        <f>IF($E343="","",ROUND(N($L343)-N($M343),2))</f>
        <v/>
      </c>
      <c r="O343" s="21" t="n"/>
      <c r="P343" s="20" t="n"/>
      <c r="Q343" s="12" t="n"/>
      <c r="R343" s="19" t="n"/>
      <c r="S343" s="20" t="n"/>
      <c r="T343" s="20" t="n"/>
      <c r="U343" s="20" t="n"/>
      <c r="V343" s="12" t="n"/>
      <c r="W343" s="12" t="n"/>
      <c r="X343" s="18">
        <f>IF($E343="","",IF(AND($B343&lt;&gt;"",ISNA(MATCH($B343,机构表,0))),"※机构不在【资料】里",IF(AND($D343&lt;&gt;"",ISNA(MATCH($D343,状态表,0))),"※状态不在【资料】里",IF(N($M343)&gt;N($L343),"※已还本金大于典当金额",IF(AND($I343&lt;&gt;"",$J343&lt;&gt;"",$J343&lt;$I343),"※到期日早于当票日期",IF(AND($H343&lt;&gt;"",COUNTIF($H$4:$H$403,$H343)&gt;1),"※当票号在本表里出现了不止一次",IF(AND($L343&lt;&gt;"",$E343=""),"※有金额没写客户","")))))))</f>
        <v/>
      </c>
    </row>
    <row r="344">
      <c r="A344" s="18">
        <f>IF($E344="","",COUNTA($E$4:$E344))</f>
        <v/>
      </c>
      <c r="B344" s="12" t="n"/>
      <c r="C344" s="12" t="n"/>
      <c r="D344" s="12" t="n"/>
      <c r="E344" s="12" t="n"/>
      <c r="F344" s="12" t="n"/>
      <c r="G344" s="12" t="n"/>
      <c r="H344" s="12" t="n"/>
      <c r="I344" s="19" t="n"/>
      <c r="J344" s="19" t="n"/>
      <c r="K344" s="19" t="n"/>
      <c r="L344" s="20" t="n"/>
      <c r="M344" s="20" t="n"/>
      <c r="N344" s="22">
        <f>IF($E344="","",ROUND(N($L344)-N($M344),2))</f>
        <v/>
      </c>
      <c r="O344" s="21" t="n"/>
      <c r="P344" s="20" t="n"/>
      <c r="Q344" s="12" t="n"/>
      <c r="R344" s="19" t="n"/>
      <c r="S344" s="20" t="n"/>
      <c r="T344" s="20" t="n"/>
      <c r="U344" s="20" t="n"/>
      <c r="V344" s="12" t="n"/>
      <c r="W344" s="12" t="n"/>
      <c r="X344" s="18">
        <f>IF($E344="","",IF(AND($B344&lt;&gt;"",ISNA(MATCH($B344,机构表,0))),"※机构不在【资料】里",IF(AND($D344&lt;&gt;"",ISNA(MATCH($D344,状态表,0))),"※状态不在【资料】里",IF(N($M344)&gt;N($L344),"※已还本金大于典当金额",IF(AND($I344&lt;&gt;"",$J344&lt;&gt;"",$J344&lt;$I344),"※到期日早于当票日期",IF(AND($H344&lt;&gt;"",COUNTIF($H$4:$H$403,$H344)&gt;1),"※当票号在本表里出现了不止一次",IF(AND($L344&lt;&gt;"",$E344=""),"※有金额没写客户","")))))))</f>
        <v/>
      </c>
    </row>
    <row r="345">
      <c r="A345" s="18">
        <f>IF($E345="","",COUNTA($E$4:$E345))</f>
        <v/>
      </c>
      <c r="B345" s="12" t="n"/>
      <c r="C345" s="12" t="n"/>
      <c r="D345" s="12" t="n"/>
      <c r="E345" s="12" t="n"/>
      <c r="F345" s="12" t="n"/>
      <c r="G345" s="12" t="n"/>
      <c r="H345" s="12" t="n"/>
      <c r="I345" s="19" t="n"/>
      <c r="J345" s="19" t="n"/>
      <c r="K345" s="19" t="n"/>
      <c r="L345" s="20" t="n"/>
      <c r="M345" s="20" t="n"/>
      <c r="N345" s="22">
        <f>IF($E345="","",ROUND(N($L345)-N($M345),2))</f>
        <v/>
      </c>
      <c r="O345" s="21" t="n"/>
      <c r="P345" s="20" t="n"/>
      <c r="Q345" s="12" t="n"/>
      <c r="R345" s="19" t="n"/>
      <c r="S345" s="20" t="n"/>
      <c r="T345" s="20" t="n"/>
      <c r="U345" s="20" t="n"/>
      <c r="V345" s="12" t="n"/>
      <c r="W345" s="12" t="n"/>
      <c r="X345" s="18">
        <f>IF($E345="","",IF(AND($B345&lt;&gt;"",ISNA(MATCH($B345,机构表,0))),"※机构不在【资料】里",IF(AND($D345&lt;&gt;"",ISNA(MATCH($D345,状态表,0))),"※状态不在【资料】里",IF(N($M345)&gt;N($L345),"※已还本金大于典当金额",IF(AND($I345&lt;&gt;"",$J345&lt;&gt;"",$J345&lt;$I345),"※到期日早于当票日期",IF(AND($H345&lt;&gt;"",COUNTIF($H$4:$H$403,$H345)&gt;1),"※当票号在本表里出现了不止一次",IF(AND($L345&lt;&gt;"",$E345=""),"※有金额没写客户","")))))))</f>
        <v/>
      </c>
    </row>
    <row r="346">
      <c r="A346" s="18">
        <f>IF($E346="","",COUNTA($E$4:$E346))</f>
        <v/>
      </c>
      <c r="B346" s="12" t="n"/>
      <c r="C346" s="12" t="n"/>
      <c r="D346" s="12" t="n"/>
      <c r="E346" s="12" t="n"/>
      <c r="F346" s="12" t="n"/>
      <c r="G346" s="12" t="n"/>
      <c r="H346" s="12" t="n"/>
      <c r="I346" s="19" t="n"/>
      <c r="J346" s="19" t="n"/>
      <c r="K346" s="19" t="n"/>
      <c r="L346" s="20" t="n"/>
      <c r="M346" s="20" t="n"/>
      <c r="N346" s="22">
        <f>IF($E346="","",ROUND(N($L346)-N($M346),2))</f>
        <v/>
      </c>
      <c r="O346" s="21" t="n"/>
      <c r="P346" s="20" t="n"/>
      <c r="Q346" s="12" t="n"/>
      <c r="R346" s="19" t="n"/>
      <c r="S346" s="20" t="n"/>
      <c r="T346" s="20" t="n"/>
      <c r="U346" s="20" t="n"/>
      <c r="V346" s="12" t="n"/>
      <c r="W346" s="12" t="n"/>
      <c r="X346" s="18">
        <f>IF($E346="","",IF(AND($B346&lt;&gt;"",ISNA(MATCH($B346,机构表,0))),"※机构不在【资料】里",IF(AND($D346&lt;&gt;"",ISNA(MATCH($D346,状态表,0))),"※状态不在【资料】里",IF(N($M346)&gt;N($L346),"※已还本金大于典当金额",IF(AND($I346&lt;&gt;"",$J346&lt;&gt;"",$J346&lt;$I346),"※到期日早于当票日期",IF(AND($H346&lt;&gt;"",COUNTIF($H$4:$H$403,$H346)&gt;1),"※当票号在本表里出现了不止一次",IF(AND($L346&lt;&gt;"",$E346=""),"※有金额没写客户","")))))))</f>
        <v/>
      </c>
    </row>
    <row r="347">
      <c r="A347" s="18">
        <f>IF($E347="","",COUNTA($E$4:$E347))</f>
        <v/>
      </c>
      <c r="B347" s="12" t="n"/>
      <c r="C347" s="12" t="n"/>
      <c r="D347" s="12" t="n"/>
      <c r="E347" s="12" t="n"/>
      <c r="F347" s="12" t="n"/>
      <c r="G347" s="12" t="n"/>
      <c r="H347" s="12" t="n"/>
      <c r="I347" s="19" t="n"/>
      <c r="J347" s="19" t="n"/>
      <c r="K347" s="19" t="n"/>
      <c r="L347" s="20" t="n"/>
      <c r="M347" s="20" t="n"/>
      <c r="N347" s="22">
        <f>IF($E347="","",ROUND(N($L347)-N($M347),2))</f>
        <v/>
      </c>
      <c r="O347" s="21" t="n"/>
      <c r="P347" s="20" t="n"/>
      <c r="Q347" s="12" t="n"/>
      <c r="R347" s="19" t="n"/>
      <c r="S347" s="20" t="n"/>
      <c r="T347" s="20" t="n"/>
      <c r="U347" s="20" t="n"/>
      <c r="V347" s="12" t="n"/>
      <c r="W347" s="12" t="n"/>
      <c r="X347" s="18">
        <f>IF($E347="","",IF(AND($B347&lt;&gt;"",ISNA(MATCH($B347,机构表,0))),"※机构不在【资料】里",IF(AND($D347&lt;&gt;"",ISNA(MATCH($D347,状态表,0))),"※状态不在【资料】里",IF(N($M347)&gt;N($L347),"※已还本金大于典当金额",IF(AND($I347&lt;&gt;"",$J347&lt;&gt;"",$J347&lt;$I347),"※到期日早于当票日期",IF(AND($H347&lt;&gt;"",COUNTIF($H$4:$H$403,$H347)&gt;1),"※当票号在本表里出现了不止一次",IF(AND($L347&lt;&gt;"",$E347=""),"※有金额没写客户","")))))))</f>
        <v/>
      </c>
    </row>
    <row r="348">
      <c r="A348" s="18">
        <f>IF($E348="","",COUNTA($E$4:$E348))</f>
        <v/>
      </c>
      <c r="B348" s="12" t="n"/>
      <c r="C348" s="12" t="n"/>
      <c r="D348" s="12" t="n"/>
      <c r="E348" s="12" t="n"/>
      <c r="F348" s="12" t="n"/>
      <c r="G348" s="12" t="n"/>
      <c r="H348" s="12" t="n"/>
      <c r="I348" s="19" t="n"/>
      <c r="J348" s="19" t="n"/>
      <c r="K348" s="19" t="n"/>
      <c r="L348" s="20" t="n"/>
      <c r="M348" s="20" t="n"/>
      <c r="N348" s="22">
        <f>IF($E348="","",ROUND(N($L348)-N($M348),2))</f>
        <v/>
      </c>
      <c r="O348" s="21" t="n"/>
      <c r="P348" s="20" t="n"/>
      <c r="Q348" s="12" t="n"/>
      <c r="R348" s="19" t="n"/>
      <c r="S348" s="20" t="n"/>
      <c r="T348" s="20" t="n"/>
      <c r="U348" s="20" t="n"/>
      <c r="V348" s="12" t="n"/>
      <c r="W348" s="12" t="n"/>
      <c r="X348" s="18">
        <f>IF($E348="","",IF(AND($B348&lt;&gt;"",ISNA(MATCH($B348,机构表,0))),"※机构不在【资料】里",IF(AND($D348&lt;&gt;"",ISNA(MATCH($D348,状态表,0))),"※状态不在【资料】里",IF(N($M348)&gt;N($L348),"※已还本金大于典当金额",IF(AND($I348&lt;&gt;"",$J348&lt;&gt;"",$J348&lt;$I348),"※到期日早于当票日期",IF(AND($H348&lt;&gt;"",COUNTIF($H$4:$H$403,$H348)&gt;1),"※当票号在本表里出现了不止一次",IF(AND($L348&lt;&gt;"",$E348=""),"※有金额没写客户","")))))))</f>
        <v/>
      </c>
    </row>
    <row r="349">
      <c r="A349" s="18">
        <f>IF($E349="","",COUNTA($E$4:$E349))</f>
        <v/>
      </c>
      <c r="B349" s="12" t="n"/>
      <c r="C349" s="12" t="n"/>
      <c r="D349" s="12" t="n"/>
      <c r="E349" s="12" t="n"/>
      <c r="F349" s="12" t="n"/>
      <c r="G349" s="12" t="n"/>
      <c r="H349" s="12" t="n"/>
      <c r="I349" s="19" t="n"/>
      <c r="J349" s="19" t="n"/>
      <c r="K349" s="19" t="n"/>
      <c r="L349" s="20" t="n"/>
      <c r="M349" s="20" t="n"/>
      <c r="N349" s="22">
        <f>IF($E349="","",ROUND(N($L349)-N($M349),2))</f>
        <v/>
      </c>
      <c r="O349" s="21" t="n"/>
      <c r="P349" s="20" t="n"/>
      <c r="Q349" s="12" t="n"/>
      <c r="R349" s="19" t="n"/>
      <c r="S349" s="20" t="n"/>
      <c r="T349" s="20" t="n"/>
      <c r="U349" s="20" t="n"/>
      <c r="V349" s="12" t="n"/>
      <c r="W349" s="12" t="n"/>
      <c r="X349" s="18">
        <f>IF($E349="","",IF(AND($B349&lt;&gt;"",ISNA(MATCH($B349,机构表,0))),"※机构不在【资料】里",IF(AND($D349&lt;&gt;"",ISNA(MATCH($D349,状态表,0))),"※状态不在【资料】里",IF(N($M349)&gt;N($L349),"※已还本金大于典当金额",IF(AND($I349&lt;&gt;"",$J349&lt;&gt;"",$J349&lt;$I349),"※到期日早于当票日期",IF(AND($H349&lt;&gt;"",COUNTIF($H$4:$H$403,$H349)&gt;1),"※当票号在本表里出现了不止一次",IF(AND($L349&lt;&gt;"",$E349=""),"※有金额没写客户","")))))))</f>
        <v/>
      </c>
    </row>
    <row r="350">
      <c r="A350" s="18">
        <f>IF($E350="","",COUNTA($E$4:$E350))</f>
        <v/>
      </c>
      <c r="B350" s="12" t="n"/>
      <c r="C350" s="12" t="n"/>
      <c r="D350" s="12" t="n"/>
      <c r="E350" s="12" t="n"/>
      <c r="F350" s="12" t="n"/>
      <c r="G350" s="12" t="n"/>
      <c r="H350" s="12" t="n"/>
      <c r="I350" s="19" t="n"/>
      <c r="J350" s="19" t="n"/>
      <c r="K350" s="19" t="n"/>
      <c r="L350" s="20" t="n"/>
      <c r="M350" s="20" t="n"/>
      <c r="N350" s="22">
        <f>IF($E350="","",ROUND(N($L350)-N($M350),2))</f>
        <v/>
      </c>
      <c r="O350" s="21" t="n"/>
      <c r="P350" s="20" t="n"/>
      <c r="Q350" s="12" t="n"/>
      <c r="R350" s="19" t="n"/>
      <c r="S350" s="20" t="n"/>
      <c r="T350" s="20" t="n"/>
      <c r="U350" s="20" t="n"/>
      <c r="V350" s="12" t="n"/>
      <c r="W350" s="12" t="n"/>
      <c r="X350" s="18">
        <f>IF($E350="","",IF(AND($B350&lt;&gt;"",ISNA(MATCH($B350,机构表,0))),"※机构不在【资料】里",IF(AND($D350&lt;&gt;"",ISNA(MATCH($D350,状态表,0))),"※状态不在【资料】里",IF(N($M350)&gt;N($L350),"※已还本金大于典当金额",IF(AND($I350&lt;&gt;"",$J350&lt;&gt;"",$J350&lt;$I350),"※到期日早于当票日期",IF(AND($H350&lt;&gt;"",COUNTIF($H$4:$H$403,$H350)&gt;1),"※当票号在本表里出现了不止一次",IF(AND($L350&lt;&gt;"",$E350=""),"※有金额没写客户","")))))))</f>
        <v/>
      </c>
    </row>
    <row r="351">
      <c r="A351" s="18">
        <f>IF($E351="","",COUNTA($E$4:$E351))</f>
        <v/>
      </c>
      <c r="B351" s="12" t="n"/>
      <c r="C351" s="12" t="n"/>
      <c r="D351" s="12" t="n"/>
      <c r="E351" s="12" t="n"/>
      <c r="F351" s="12" t="n"/>
      <c r="G351" s="12" t="n"/>
      <c r="H351" s="12" t="n"/>
      <c r="I351" s="19" t="n"/>
      <c r="J351" s="19" t="n"/>
      <c r="K351" s="19" t="n"/>
      <c r="L351" s="20" t="n"/>
      <c r="M351" s="20" t="n"/>
      <c r="N351" s="22">
        <f>IF($E351="","",ROUND(N($L351)-N($M351),2))</f>
        <v/>
      </c>
      <c r="O351" s="21" t="n"/>
      <c r="P351" s="20" t="n"/>
      <c r="Q351" s="12" t="n"/>
      <c r="R351" s="19" t="n"/>
      <c r="S351" s="20" t="n"/>
      <c r="T351" s="20" t="n"/>
      <c r="U351" s="20" t="n"/>
      <c r="V351" s="12" t="n"/>
      <c r="W351" s="12" t="n"/>
      <c r="X351" s="18">
        <f>IF($E351="","",IF(AND($B351&lt;&gt;"",ISNA(MATCH($B351,机构表,0))),"※机构不在【资料】里",IF(AND($D351&lt;&gt;"",ISNA(MATCH($D351,状态表,0))),"※状态不在【资料】里",IF(N($M351)&gt;N($L351),"※已还本金大于典当金额",IF(AND($I351&lt;&gt;"",$J351&lt;&gt;"",$J351&lt;$I351),"※到期日早于当票日期",IF(AND($H351&lt;&gt;"",COUNTIF($H$4:$H$403,$H351)&gt;1),"※当票号在本表里出现了不止一次",IF(AND($L351&lt;&gt;"",$E351=""),"※有金额没写客户","")))))))</f>
        <v/>
      </c>
    </row>
    <row r="352">
      <c r="A352" s="18">
        <f>IF($E352="","",COUNTA($E$4:$E352))</f>
        <v/>
      </c>
      <c r="B352" s="12" t="n"/>
      <c r="C352" s="12" t="n"/>
      <c r="D352" s="12" t="n"/>
      <c r="E352" s="12" t="n"/>
      <c r="F352" s="12" t="n"/>
      <c r="G352" s="12" t="n"/>
      <c r="H352" s="12" t="n"/>
      <c r="I352" s="19" t="n"/>
      <c r="J352" s="19" t="n"/>
      <c r="K352" s="19" t="n"/>
      <c r="L352" s="20" t="n"/>
      <c r="M352" s="20" t="n"/>
      <c r="N352" s="22">
        <f>IF($E352="","",ROUND(N($L352)-N($M352),2))</f>
        <v/>
      </c>
      <c r="O352" s="21" t="n"/>
      <c r="P352" s="20" t="n"/>
      <c r="Q352" s="12" t="n"/>
      <c r="R352" s="19" t="n"/>
      <c r="S352" s="20" t="n"/>
      <c r="T352" s="20" t="n"/>
      <c r="U352" s="20" t="n"/>
      <c r="V352" s="12" t="n"/>
      <c r="W352" s="12" t="n"/>
      <c r="X352" s="18">
        <f>IF($E352="","",IF(AND($B352&lt;&gt;"",ISNA(MATCH($B352,机构表,0))),"※机构不在【资料】里",IF(AND($D352&lt;&gt;"",ISNA(MATCH($D352,状态表,0))),"※状态不在【资料】里",IF(N($M352)&gt;N($L352),"※已还本金大于典当金额",IF(AND($I352&lt;&gt;"",$J352&lt;&gt;"",$J352&lt;$I352),"※到期日早于当票日期",IF(AND($H352&lt;&gt;"",COUNTIF($H$4:$H$403,$H352)&gt;1),"※当票号在本表里出现了不止一次",IF(AND($L352&lt;&gt;"",$E352=""),"※有金额没写客户","")))))))</f>
        <v/>
      </c>
    </row>
    <row r="353">
      <c r="A353" s="18">
        <f>IF($E353="","",COUNTA($E$4:$E353))</f>
        <v/>
      </c>
      <c r="B353" s="12" t="n"/>
      <c r="C353" s="12" t="n"/>
      <c r="D353" s="12" t="n"/>
      <c r="E353" s="12" t="n"/>
      <c r="F353" s="12" t="n"/>
      <c r="G353" s="12" t="n"/>
      <c r="H353" s="12" t="n"/>
      <c r="I353" s="19" t="n"/>
      <c r="J353" s="19" t="n"/>
      <c r="K353" s="19" t="n"/>
      <c r="L353" s="20" t="n"/>
      <c r="M353" s="20" t="n"/>
      <c r="N353" s="22">
        <f>IF($E353="","",ROUND(N($L353)-N($M353),2))</f>
        <v/>
      </c>
      <c r="O353" s="21" t="n"/>
      <c r="P353" s="20" t="n"/>
      <c r="Q353" s="12" t="n"/>
      <c r="R353" s="19" t="n"/>
      <c r="S353" s="20" t="n"/>
      <c r="T353" s="20" t="n"/>
      <c r="U353" s="20" t="n"/>
      <c r="V353" s="12" t="n"/>
      <c r="W353" s="12" t="n"/>
      <c r="X353" s="18">
        <f>IF($E353="","",IF(AND($B353&lt;&gt;"",ISNA(MATCH($B353,机构表,0))),"※机构不在【资料】里",IF(AND($D353&lt;&gt;"",ISNA(MATCH($D353,状态表,0))),"※状态不在【资料】里",IF(N($M353)&gt;N($L353),"※已还本金大于典当金额",IF(AND($I353&lt;&gt;"",$J353&lt;&gt;"",$J353&lt;$I353),"※到期日早于当票日期",IF(AND($H353&lt;&gt;"",COUNTIF($H$4:$H$403,$H353)&gt;1),"※当票号在本表里出现了不止一次",IF(AND($L353&lt;&gt;"",$E353=""),"※有金额没写客户","")))))))</f>
        <v/>
      </c>
    </row>
    <row r="354">
      <c r="A354" s="18">
        <f>IF($E354="","",COUNTA($E$4:$E354))</f>
        <v/>
      </c>
      <c r="B354" s="12" t="n"/>
      <c r="C354" s="12" t="n"/>
      <c r="D354" s="12" t="n"/>
      <c r="E354" s="12" t="n"/>
      <c r="F354" s="12" t="n"/>
      <c r="G354" s="12" t="n"/>
      <c r="H354" s="12" t="n"/>
      <c r="I354" s="19" t="n"/>
      <c r="J354" s="19" t="n"/>
      <c r="K354" s="19" t="n"/>
      <c r="L354" s="20" t="n"/>
      <c r="M354" s="20" t="n"/>
      <c r="N354" s="22">
        <f>IF($E354="","",ROUND(N($L354)-N($M354),2))</f>
        <v/>
      </c>
      <c r="O354" s="21" t="n"/>
      <c r="P354" s="20" t="n"/>
      <c r="Q354" s="12" t="n"/>
      <c r="R354" s="19" t="n"/>
      <c r="S354" s="20" t="n"/>
      <c r="T354" s="20" t="n"/>
      <c r="U354" s="20" t="n"/>
      <c r="V354" s="12" t="n"/>
      <c r="W354" s="12" t="n"/>
      <c r="X354" s="18">
        <f>IF($E354="","",IF(AND($B354&lt;&gt;"",ISNA(MATCH($B354,机构表,0))),"※机构不在【资料】里",IF(AND($D354&lt;&gt;"",ISNA(MATCH($D354,状态表,0))),"※状态不在【资料】里",IF(N($M354)&gt;N($L354),"※已还本金大于典当金额",IF(AND($I354&lt;&gt;"",$J354&lt;&gt;"",$J354&lt;$I354),"※到期日早于当票日期",IF(AND($H354&lt;&gt;"",COUNTIF($H$4:$H$403,$H354)&gt;1),"※当票号在本表里出现了不止一次",IF(AND($L354&lt;&gt;"",$E354=""),"※有金额没写客户","")))))))</f>
        <v/>
      </c>
    </row>
    <row r="355">
      <c r="A355" s="18">
        <f>IF($E355="","",COUNTA($E$4:$E355))</f>
        <v/>
      </c>
      <c r="B355" s="12" t="n"/>
      <c r="C355" s="12" t="n"/>
      <c r="D355" s="12" t="n"/>
      <c r="E355" s="12" t="n"/>
      <c r="F355" s="12" t="n"/>
      <c r="G355" s="12" t="n"/>
      <c r="H355" s="12" t="n"/>
      <c r="I355" s="19" t="n"/>
      <c r="J355" s="19" t="n"/>
      <c r="K355" s="19" t="n"/>
      <c r="L355" s="20" t="n"/>
      <c r="M355" s="20" t="n"/>
      <c r="N355" s="22">
        <f>IF($E355="","",ROUND(N($L355)-N($M355),2))</f>
        <v/>
      </c>
      <c r="O355" s="21" t="n"/>
      <c r="P355" s="20" t="n"/>
      <c r="Q355" s="12" t="n"/>
      <c r="R355" s="19" t="n"/>
      <c r="S355" s="20" t="n"/>
      <c r="T355" s="20" t="n"/>
      <c r="U355" s="20" t="n"/>
      <c r="V355" s="12" t="n"/>
      <c r="W355" s="12" t="n"/>
      <c r="X355" s="18">
        <f>IF($E355="","",IF(AND($B355&lt;&gt;"",ISNA(MATCH($B355,机构表,0))),"※机构不在【资料】里",IF(AND($D355&lt;&gt;"",ISNA(MATCH($D355,状态表,0))),"※状态不在【资料】里",IF(N($M355)&gt;N($L355),"※已还本金大于典当金额",IF(AND($I355&lt;&gt;"",$J355&lt;&gt;"",$J355&lt;$I355),"※到期日早于当票日期",IF(AND($H355&lt;&gt;"",COUNTIF($H$4:$H$403,$H355)&gt;1),"※当票号在本表里出现了不止一次",IF(AND($L355&lt;&gt;"",$E355=""),"※有金额没写客户","")))))))</f>
        <v/>
      </c>
    </row>
    <row r="356">
      <c r="A356" s="18">
        <f>IF($E356="","",COUNTA($E$4:$E356))</f>
        <v/>
      </c>
      <c r="B356" s="12" t="n"/>
      <c r="C356" s="12" t="n"/>
      <c r="D356" s="12" t="n"/>
      <c r="E356" s="12" t="n"/>
      <c r="F356" s="12" t="n"/>
      <c r="G356" s="12" t="n"/>
      <c r="H356" s="12" t="n"/>
      <c r="I356" s="19" t="n"/>
      <c r="J356" s="19" t="n"/>
      <c r="K356" s="19" t="n"/>
      <c r="L356" s="20" t="n"/>
      <c r="M356" s="20" t="n"/>
      <c r="N356" s="22">
        <f>IF($E356="","",ROUND(N($L356)-N($M356),2))</f>
        <v/>
      </c>
      <c r="O356" s="21" t="n"/>
      <c r="P356" s="20" t="n"/>
      <c r="Q356" s="12" t="n"/>
      <c r="R356" s="19" t="n"/>
      <c r="S356" s="20" t="n"/>
      <c r="T356" s="20" t="n"/>
      <c r="U356" s="20" t="n"/>
      <c r="V356" s="12" t="n"/>
      <c r="W356" s="12" t="n"/>
      <c r="X356" s="18">
        <f>IF($E356="","",IF(AND($B356&lt;&gt;"",ISNA(MATCH($B356,机构表,0))),"※机构不在【资料】里",IF(AND($D356&lt;&gt;"",ISNA(MATCH($D356,状态表,0))),"※状态不在【资料】里",IF(N($M356)&gt;N($L356),"※已还本金大于典当金额",IF(AND($I356&lt;&gt;"",$J356&lt;&gt;"",$J356&lt;$I356),"※到期日早于当票日期",IF(AND($H356&lt;&gt;"",COUNTIF($H$4:$H$403,$H356)&gt;1),"※当票号在本表里出现了不止一次",IF(AND($L356&lt;&gt;"",$E356=""),"※有金额没写客户","")))))))</f>
        <v/>
      </c>
    </row>
    <row r="357">
      <c r="A357" s="18">
        <f>IF($E357="","",COUNTA($E$4:$E357))</f>
        <v/>
      </c>
      <c r="B357" s="12" t="n"/>
      <c r="C357" s="12" t="n"/>
      <c r="D357" s="12" t="n"/>
      <c r="E357" s="12" t="n"/>
      <c r="F357" s="12" t="n"/>
      <c r="G357" s="12" t="n"/>
      <c r="H357" s="12" t="n"/>
      <c r="I357" s="19" t="n"/>
      <c r="J357" s="19" t="n"/>
      <c r="K357" s="19" t="n"/>
      <c r="L357" s="20" t="n"/>
      <c r="M357" s="20" t="n"/>
      <c r="N357" s="22">
        <f>IF($E357="","",ROUND(N($L357)-N($M357),2))</f>
        <v/>
      </c>
      <c r="O357" s="21" t="n"/>
      <c r="P357" s="20" t="n"/>
      <c r="Q357" s="12" t="n"/>
      <c r="R357" s="19" t="n"/>
      <c r="S357" s="20" t="n"/>
      <c r="T357" s="20" t="n"/>
      <c r="U357" s="20" t="n"/>
      <c r="V357" s="12" t="n"/>
      <c r="W357" s="12" t="n"/>
      <c r="X357" s="18">
        <f>IF($E357="","",IF(AND($B357&lt;&gt;"",ISNA(MATCH($B357,机构表,0))),"※机构不在【资料】里",IF(AND($D357&lt;&gt;"",ISNA(MATCH($D357,状态表,0))),"※状态不在【资料】里",IF(N($M357)&gt;N($L357),"※已还本金大于典当金额",IF(AND($I357&lt;&gt;"",$J357&lt;&gt;"",$J357&lt;$I357),"※到期日早于当票日期",IF(AND($H357&lt;&gt;"",COUNTIF($H$4:$H$403,$H357)&gt;1),"※当票号在本表里出现了不止一次",IF(AND($L357&lt;&gt;"",$E357=""),"※有金额没写客户","")))))))</f>
        <v/>
      </c>
    </row>
    <row r="358">
      <c r="A358" s="18">
        <f>IF($E358="","",COUNTA($E$4:$E358))</f>
        <v/>
      </c>
      <c r="B358" s="12" t="n"/>
      <c r="C358" s="12" t="n"/>
      <c r="D358" s="12" t="n"/>
      <c r="E358" s="12" t="n"/>
      <c r="F358" s="12" t="n"/>
      <c r="G358" s="12" t="n"/>
      <c r="H358" s="12" t="n"/>
      <c r="I358" s="19" t="n"/>
      <c r="J358" s="19" t="n"/>
      <c r="K358" s="19" t="n"/>
      <c r="L358" s="20" t="n"/>
      <c r="M358" s="20" t="n"/>
      <c r="N358" s="22">
        <f>IF($E358="","",ROUND(N($L358)-N($M358),2))</f>
        <v/>
      </c>
      <c r="O358" s="21" t="n"/>
      <c r="P358" s="20" t="n"/>
      <c r="Q358" s="12" t="n"/>
      <c r="R358" s="19" t="n"/>
      <c r="S358" s="20" t="n"/>
      <c r="T358" s="20" t="n"/>
      <c r="U358" s="20" t="n"/>
      <c r="V358" s="12" t="n"/>
      <c r="W358" s="12" t="n"/>
      <c r="X358" s="18">
        <f>IF($E358="","",IF(AND($B358&lt;&gt;"",ISNA(MATCH($B358,机构表,0))),"※机构不在【资料】里",IF(AND($D358&lt;&gt;"",ISNA(MATCH($D358,状态表,0))),"※状态不在【资料】里",IF(N($M358)&gt;N($L358),"※已还本金大于典当金额",IF(AND($I358&lt;&gt;"",$J358&lt;&gt;"",$J358&lt;$I358),"※到期日早于当票日期",IF(AND($H358&lt;&gt;"",COUNTIF($H$4:$H$403,$H358)&gt;1),"※当票号在本表里出现了不止一次",IF(AND($L358&lt;&gt;"",$E358=""),"※有金额没写客户","")))))))</f>
        <v/>
      </c>
    </row>
    <row r="359">
      <c r="A359" s="18">
        <f>IF($E359="","",COUNTA($E$4:$E359))</f>
        <v/>
      </c>
      <c r="B359" s="12" t="n"/>
      <c r="C359" s="12" t="n"/>
      <c r="D359" s="12" t="n"/>
      <c r="E359" s="12" t="n"/>
      <c r="F359" s="12" t="n"/>
      <c r="G359" s="12" t="n"/>
      <c r="H359" s="12" t="n"/>
      <c r="I359" s="19" t="n"/>
      <c r="J359" s="19" t="n"/>
      <c r="K359" s="19" t="n"/>
      <c r="L359" s="20" t="n"/>
      <c r="M359" s="20" t="n"/>
      <c r="N359" s="22">
        <f>IF($E359="","",ROUND(N($L359)-N($M359),2))</f>
        <v/>
      </c>
      <c r="O359" s="21" t="n"/>
      <c r="P359" s="20" t="n"/>
      <c r="Q359" s="12" t="n"/>
      <c r="R359" s="19" t="n"/>
      <c r="S359" s="20" t="n"/>
      <c r="T359" s="20" t="n"/>
      <c r="U359" s="20" t="n"/>
      <c r="V359" s="12" t="n"/>
      <c r="W359" s="12" t="n"/>
      <c r="X359" s="18">
        <f>IF($E359="","",IF(AND($B359&lt;&gt;"",ISNA(MATCH($B359,机构表,0))),"※机构不在【资料】里",IF(AND($D359&lt;&gt;"",ISNA(MATCH($D359,状态表,0))),"※状态不在【资料】里",IF(N($M359)&gt;N($L359),"※已还本金大于典当金额",IF(AND($I359&lt;&gt;"",$J359&lt;&gt;"",$J359&lt;$I359),"※到期日早于当票日期",IF(AND($H359&lt;&gt;"",COUNTIF($H$4:$H$403,$H359)&gt;1),"※当票号在本表里出现了不止一次",IF(AND($L359&lt;&gt;"",$E359=""),"※有金额没写客户","")))))))</f>
        <v/>
      </c>
    </row>
    <row r="360">
      <c r="A360" s="18">
        <f>IF($E360="","",COUNTA($E$4:$E360))</f>
        <v/>
      </c>
      <c r="B360" s="12" t="n"/>
      <c r="C360" s="12" t="n"/>
      <c r="D360" s="12" t="n"/>
      <c r="E360" s="12" t="n"/>
      <c r="F360" s="12" t="n"/>
      <c r="G360" s="12" t="n"/>
      <c r="H360" s="12" t="n"/>
      <c r="I360" s="19" t="n"/>
      <c r="J360" s="19" t="n"/>
      <c r="K360" s="19" t="n"/>
      <c r="L360" s="20" t="n"/>
      <c r="M360" s="20" t="n"/>
      <c r="N360" s="22">
        <f>IF($E360="","",ROUND(N($L360)-N($M360),2))</f>
        <v/>
      </c>
      <c r="O360" s="21" t="n"/>
      <c r="P360" s="20" t="n"/>
      <c r="Q360" s="12" t="n"/>
      <c r="R360" s="19" t="n"/>
      <c r="S360" s="20" t="n"/>
      <c r="T360" s="20" t="n"/>
      <c r="U360" s="20" t="n"/>
      <c r="V360" s="12" t="n"/>
      <c r="W360" s="12" t="n"/>
      <c r="X360" s="18">
        <f>IF($E360="","",IF(AND($B360&lt;&gt;"",ISNA(MATCH($B360,机构表,0))),"※机构不在【资料】里",IF(AND($D360&lt;&gt;"",ISNA(MATCH($D360,状态表,0))),"※状态不在【资料】里",IF(N($M360)&gt;N($L360),"※已还本金大于典当金额",IF(AND($I360&lt;&gt;"",$J360&lt;&gt;"",$J360&lt;$I360),"※到期日早于当票日期",IF(AND($H360&lt;&gt;"",COUNTIF($H$4:$H$403,$H360)&gt;1),"※当票号在本表里出现了不止一次",IF(AND($L360&lt;&gt;"",$E360=""),"※有金额没写客户","")))))))</f>
        <v/>
      </c>
    </row>
    <row r="361">
      <c r="A361" s="18">
        <f>IF($E361="","",COUNTA($E$4:$E361))</f>
        <v/>
      </c>
      <c r="B361" s="12" t="n"/>
      <c r="C361" s="12" t="n"/>
      <c r="D361" s="12" t="n"/>
      <c r="E361" s="12" t="n"/>
      <c r="F361" s="12" t="n"/>
      <c r="G361" s="12" t="n"/>
      <c r="H361" s="12" t="n"/>
      <c r="I361" s="19" t="n"/>
      <c r="J361" s="19" t="n"/>
      <c r="K361" s="19" t="n"/>
      <c r="L361" s="20" t="n"/>
      <c r="M361" s="20" t="n"/>
      <c r="N361" s="22">
        <f>IF($E361="","",ROUND(N($L361)-N($M361),2))</f>
        <v/>
      </c>
      <c r="O361" s="21" t="n"/>
      <c r="P361" s="20" t="n"/>
      <c r="Q361" s="12" t="n"/>
      <c r="R361" s="19" t="n"/>
      <c r="S361" s="20" t="n"/>
      <c r="T361" s="20" t="n"/>
      <c r="U361" s="20" t="n"/>
      <c r="V361" s="12" t="n"/>
      <c r="W361" s="12" t="n"/>
      <c r="X361" s="18">
        <f>IF($E361="","",IF(AND($B361&lt;&gt;"",ISNA(MATCH($B361,机构表,0))),"※机构不在【资料】里",IF(AND($D361&lt;&gt;"",ISNA(MATCH($D361,状态表,0))),"※状态不在【资料】里",IF(N($M361)&gt;N($L361),"※已还本金大于典当金额",IF(AND($I361&lt;&gt;"",$J361&lt;&gt;"",$J361&lt;$I361),"※到期日早于当票日期",IF(AND($H361&lt;&gt;"",COUNTIF($H$4:$H$403,$H361)&gt;1),"※当票号在本表里出现了不止一次",IF(AND($L361&lt;&gt;"",$E361=""),"※有金额没写客户","")))))))</f>
        <v/>
      </c>
    </row>
    <row r="362">
      <c r="A362" s="18">
        <f>IF($E362="","",COUNTA($E$4:$E362))</f>
        <v/>
      </c>
      <c r="B362" s="12" t="n"/>
      <c r="C362" s="12" t="n"/>
      <c r="D362" s="12" t="n"/>
      <c r="E362" s="12" t="n"/>
      <c r="F362" s="12" t="n"/>
      <c r="G362" s="12" t="n"/>
      <c r="H362" s="12" t="n"/>
      <c r="I362" s="19" t="n"/>
      <c r="J362" s="19" t="n"/>
      <c r="K362" s="19" t="n"/>
      <c r="L362" s="20" t="n"/>
      <c r="M362" s="20" t="n"/>
      <c r="N362" s="22">
        <f>IF($E362="","",ROUND(N($L362)-N($M362),2))</f>
        <v/>
      </c>
      <c r="O362" s="21" t="n"/>
      <c r="P362" s="20" t="n"/>
      <c r="Q362" s="12" t="n"/>
      <c r="R362" s="19" t="n"/>
      <c r="S362" s="20" t="n"/>
      <c r="T362" s="20" t="n"/>
      <c r="U362" s="20" t="n"/>
      <c r="V362" s="12" t="n"/>
      <c r="W362" s="12" t="n"/>
      <c r="X362" s="18">
        <f>IF($E362="","",IF(AND($B362&lt;&gt;"",ISNA(MATCH($B362,机构表,0))),"※机构不在【资料】里",IF(AND($D362&lt;&gt;"",ISNA(MATCH($D362,状态表,0))),"※状态不在【资料】里",IF(N($M362)&gt;N($L362),"※已还本金大于典当金额",IF(AND($I362&lt;&gt;"",$J362&lt;&gt;"",$J362&lt;$I362),"※到期日早于当票日期",IF(AND($H362&lt;&gt;"",COUNTIF($H$4:$H$403,$H362)&gt;1),"※当票号在本表里出现了不止一次",IF(AND($L362&lt;&gt;"",$E362=""),"※有金额没写客户","")))))))</f>
        <v/>
      </c>
    </row>
    <row r="363">
      <c r="A363" s="18">
        <f>IF($E363="","",COUNTA($E$4:$E363))</f>
        <v/>
      </c>
      <c r="B363" s="12" t="n"/>
      <c r="C363" s="12" t="n"/>
      <c r="D363" s="12" t="n"/>
      <c r="E363" s="12" t="n"/>
      <c r="F363" s="12" t="n"/>
      <c r="G363" s="12" t="n"/>
      <c r="H363" s="12" t="n"/>
      <c r="I363" s="19" t="n"/>
      <c r="J363" s="19" t="n"/>
      <c r="K363" s="19" t="n"/>
      <c r="L363" s="20" t="n"/>
      <c r="M363" s="20" t="n"/>
      <c r="N363" s="22">
        <f>IF($E363="","",ROUND(N($L363)-N($M363),2))</f>
        <v/>
      </c>
      <c r="O363" s="21" t="n"/>
      <c r="P363" s="20" t="n"/>
      <c r="Q363" s="12" t="n"/>
      <c r="R363" s="19" t="n"/>
      <c r="S363" s="20" t="n"/>
      <c r="T363" s="20" t="n"/>
      <c r="U363" s="20" t="n"/>
      <c r="V363" s="12" t="n"/>
      <c r="W363" s="12" t="n"/>
      <c r="X363" s="18">
        <f>IF($E363="","",IF(AND($B363&lt;&gt;"",ISNA(MATCH($B363,机构表,0))),"※机构不在【资料】里",IF(AND($D363&lt;&gt;"",ISNA(MATCH($D363,状态表,0))),"※状态不在【资料】里",IF(N($M363)&gt;N($L363),"※已还本金大于典当金额",IF(AND($I363&lt;&gt;"",$J363&lt;&gt;"",$J363&lt;$I363),"※到期日早于当票日期",IF(AND($H363&lt;&gt;"",COUNTIF($H$4:$H$403,$H363)&gt;1),"※当票号在本表里出现了不止一次",IF(AND($L363&lt;&gt;"",$E363=""),"※有金额没写客户","")))))))</f>
        <v/>
      </c>
    </row>
    <row r="364">
      <c r="A364" s="18">
        <f>IF($E364="","",COUNTA($E$4:$E364))</f>
        <v/>
      </c>
      <c r="B364" s="12" t="n"/>
      <c r="C364" s="12" t="n"/>
      <c r="D364" s="12" t="n"/>
      <c r="E364" s="12" t="n"/>
      <c r="F364" s="12" t="n"/>
      <c r="G364" s="12" t="n"/>
      <c r="H364" s="12" t="n"/>
      <c r="I364" s="19" t="n"/>
      <c r="J364" s="19" t="n"/>
      <c r="K364" s="19" t="n"/>
      <c r="L364" s="20" t="n"/>
      <c r="M364" s="20" t="n"/>
      <c r="N364" s="22">
        <f>IF($E364="","",ROUND(N($L364)-N($M364),2))</f>
        <v/>
      </c>
      <c r="O364" s="21" t="n"/>
      <c r="P364" s="20" t="n"/>
      <c r="Q364" s="12" t="n"/>
      <c r="R364" s="19" t="n"/>
      <c r="S364" s="20" t="n"/>
      <c r="T364" s="20" t="n"/>
      <c r="U364" s="20" t="n"/>
      <c r="V364" s="12" t="n"/>
      <c r="W364" s="12" t="n"/>
      <c r="X364" s="18">
        <f>IF($E364="","",IF(AND($B364&lt;&gt;"",ISNA(MATCH($B364,机构表,0))),"※机构不在【资料】里",IF(AND($D364&lt;&gt;"",ISNA(MATCH($D364,状态表,0))),"※状态不在【资料】里",IF(N($M364)&gt;N($L364),"※已还本金大于典当金额",IF(AND($I364&lt;&gt;"",$J364&lt;&gt;"",$J364&lt;$I364),"※到期日早于当票日期",IF(AND($H364&lt;&gt;"",COUNTIF($H$4:$H$403,$H364)&gt;1),"※当票号在本表里出现了不止一次",IF(AND($L364&lt;&gt;"",$E364=""),"※有金额没写客户","")))))))</f>
        <v/>
      </c>
    </row>
    <row r="365">
      <c r="A365" s="18">
        <f>IF($E365="","",COUNTA($E$4:$E365))</f>
        <v/>
      </c>
      <c r="B365" s="12" t="n"/>
      <c r="C365" s="12" t="n"/>
      <c r="D365" s="12" t="n"/>
      <c r="E365" s="12" t="n"/>
      <c r="F365" s="12" t="n"/>
      <c r="G365" s="12" t="n"/>
      <c r="H365" s="12" t="n"/>
      <c r="I365" s="19" t="n"/>
      <c r="J365" s="19" t="n"/>
      <c r="K365" s="19" t="n"/>
      <c r="L365" s="20" t="n"/>
      <c r="M365" s="20" t="n"/>
      <c r="N365" s="22">
        <f>IF($E365="","",ROUND(N($L365)-N($M365),2))</f>
        <v/>
      </c>
      <c r="O365" s="21" t="n"/>
      <c r="P365" s="20" t="n"/>
      <c r="Q365" s="12" t="n"/>
      <c r="R365" s="19" t="n"/>
      <c r="S365" s="20" t="n"/>
      <c r="T365" s="20" t="n"/>
      <c r="U365" s="20" t="n"/>
      <c r="V365" s="12" t="n"/>
      <c r="W365" s="12" t="n"/>
      <c r="X365" s="18">
        <f>IF($E365="","",IF(AND($B365&lt;&gt;"",ISNA(MATCH($B365,机构表,0))),"※机构不在【资料】里",IF(AND($D365&lt;&gt;"",ISNA(MATCH($D365,状态表,0))),"※状态不在【资料】里",IF(N($M365)&gt;N($L365),"※已还本金大于典当金额",IF(AND($I365&lt;&gt;"",$J365&lt;&gt;"",$J365&lt;$I365),"※到期日早于当票日期",IF(AND($H365&lt;&gt;"",COUNTIF($H$4:$H$403,$H365)&gt;1),"※当票号在本表里出现了不止一次",IF(AND($L365&lt;&gt;"",$E365=""),"※有金额没写客户","")))))))</f>
        <v/>
      </c>
    </row>
    <row r="366">
      <c r="A366" s="18">
        <f>IF($E366="","",COUNTA($E$4:$E366))</f>
        <v/>
      </c>
      <c r="B366" s="12" t="n"/>
      <c r="C366" s="12" t="n"/>
      <c r="D366" s="12" t="n"/>
      <c r="E366" s="12" t="n"/>
      <c r="F366" s="12" t="n"/>
      <c r="G366" s="12" t="n"/>
      <c r="H366" s="12" t="n"/>
      <c r="I366" s="19" t="n"/>
      <c r="J366" s="19" t="n"/>
      <c r="K366" s="19" t="n"/>
      <c r="L366" s="20" t="n"/>
      <c r="M366" s="20" t="n"/>
      <c r="N366" s="22">
        <f>IF($E366="","",ROUND(N($L366)-N($M366),2))</f>
        <v/>
      </c>
      <c r="O366" s="21" t="n"/>
      <c r="P366" s="20" t="n"/>
      <c r="Q366" s="12" t="n"/>
      <c r="R366" s="19" t="n"/>
      <c r="S366" s="20" t="n"/>
      <c r="T366" s="20" t="n"/>
      <c r="U366" s="20" t="n"/>
      <c r="V366" s="12" t="n"/>
      <c r="W366" s="12" t="n"/>
      <c r="X366" s="18">
        <f>IF($E366="","",IF(AND($B366&lt;&gt;"",ISNA(MATCH($B366,机构表,0))),"※机构不在【资料】里",IF(AND($D366&lt;&gt;"",ISNA(MATCH($D366,状态表,0))),"※状态不在【资料】里",IF(N($M366)&gt;N($L366),"※已还本金大于典当金额",IF(AND($I366&lt;&gt;"",$J366&lt;&gt;"",$J366&lt;$I366),"※到期日早于当票日期",IF(AND($H366&lt;&gt;"",COUNTIF($H$4:$H$403,$H366)&gt;1),"※当票号在本表里出现了不止一次",IF(AND($L366&lt;&gt;"",$E366=""),"※有金额没写客户","")))))))</f>
        <v/>
      </c>
    </row>
    <row r="367">
      <c r="A367" s="18">
        <f>IF($E367="","",COUNTA($E$4:$E367))</f>
        <v/>
      </c>
      <c r="B367" s="12" t="n"/>
      <c r="C367" s="12" t="n"/>
      <c r="D367" s="12" t="n"/>
      <c r="E367" s="12" t="n"/>
      <c r="F367" s="12" t="n"/>
      <c r="G367" s="12" t="n"/>
      <c r="H367" s="12" t="n"/>
      <c r="I367" s="19" t="n"/>
      <c r="J367" s="19" t="n"/>
      <c r="K367" s="19" t="n"/>
      <c r="L367" s="20" t="n"/>
      <c r="M367" s="20" t="n"/>
      <c r="N367" s="22">
        <f>IF($E367="","",ROUND(N($L367)-N($M367),2))</f>
        <v/>
      </c>
      <c r="O367" s="21" t="n"/>
      <c r="P367" s="20" t="n"/>
      <c r="Q367" s="12" t="n"/>
      <c r="R367" s="19" t="n"/>
      <c r="S367" s="20" t="n"/>
      <c r="T367" s="20" t="n"/>
      <c r="U367" s="20" t="n"/>
      <c r="V367" s="12" t="n"/>
      <c r="W367" s="12" t="n"/>
      <c r="X367" s="18">
        <f>IF($E367="","",IF(AND($B367&lt;&gt;"",ISNA(MATCH($B367,机构表,0))),"※机构不在【资料】里",IF(AND($D367&lt;&gt;"",ISNA(MATCH($D367,状态表,0))),"※状态不在【资料】里",IF(N($M367)&gt;N($L367),"※已还本金大于典当金额",IF(AND($I367&lt;&gt;"",$J367&lt;&gt;"",$J367&lt;$I367),"※到期日早于当票日期",IF(AND($H367&lt;&gt;"",COUNTIF($H$4:$H$403,$H367)&gt;1),"※当票号在本表里出现了不止一次",IF(AND($L367&lt;&gt;"",$E367=""),"※有金额没写客户","")))))))</f>
        <v/>
      </c>
    </row>
    <row r="368">
      <c r="A368" s="18">
        <f>IF($E368="","",COUNTA($E$4:$E368))</f>
        <v/>
      </c>
      <c r="B368" s="12" t="n"/>
      <c r="C368" s="12" t="n"/>
      <c r="D368" s="12" t="n"/>
      <c r="E368" s="12" t="n"/>
      <c r="F368" s="12" t="n"/>
      <c r="G368" s="12" t="n"/>
      <c r="H368" s="12" t="n"/>
      <c r="I368" s="19" t="n"/>
      <c r="J368" s="19" t="n"/>
      <c r="K368" s="19" t="n"/>
      <c r="L368" s="20" t="n"/>
      <c r="M368" s="20" t="n"/>
      <c r="N368" s="22">
        <f>IF($E368="","",ROUND(N($L368)-N($M368),2))</f>
        <v/>
      </c>
      <c r="O368" s="21" t="n"/>
      <c r="P368" s="20" t="n"/>
      <c r="Q368" s="12" t="n"/>
      <c r="R368" s="19" t="n"/>
      <c r="S368" s="20" t="n"/>
      <c r="T368" s="20" t="n"/>
      <c r="U368" s="20" t="n"/>
      <c r="V368" s="12" t="n"/>
      <c r="W368" s="12" t="n"/>
      <c r="X368" s="18">
        <f>IF($E368="","",IF(AND($B368&lt;&gt;"",ISNA(MATCH($B368,机构表,0))),"※机构不在【资料】里",IF(AND($D368&lt;&gt;"",ISNA(MATCH($D368,状态表,0))),"※状态不在【资料】里",IF(N($M368)&gt;N($L368),"※已还本金大于典当金额",IF(AND($I368&lt;&gt;"",$J368&lt;&gt;"",$J368&lt;$I368),"※到期日早于当票日期",IF(AND($H368&lt;&gt;"",COUNTIF($H$4:$H$403,$H368)&gt;1),"※当票号在本表里出现了不止一次",IF(AND($L368&lt;&gt;"",$E368=""),"※有金额没写客户","")))))))</f>
        <v/>
      </c>
    </row>
    <row r="369">
      <c r="A369" s="18">
        <f>IF($E369="","",COUNTA($E$4:$E369))</f>
        <v/>
      </c>
      <c r="B369" s="12" t="n"/>
      <c r="C369" s="12" t="n"/>
      <c r="D369" s="12" t="n"/>
      <c r="E369" s="12" t="n"/>
      <c r="F369" s="12" t="n"/>
      <c r="G369" s="12" t="n"/>
      <c r="H369" s="12" t="n"/>
      <c r="I369" s="19" t="n"/>
      <c r="J369" s="19" t="n"/>
      <c r="K369" s="19" t="n"/>
      <c r="L369" s="20" t="n"/>
      <c r="M369" s="20" t="n"/>
      <c r="N369" s="22">
        <f>IF($E369="","",ROUND(N($L369)-N($M369),2))</f>
        <v/>
      </c>
      <c r="O369" s="21" t="n"/>
      <c r="P369" s="20" t="n"/>
      <c r="Q369" s="12" t="n"/>
      <c r="R369" s="19" t="n"/>
      <c r="S369" s="20" t="n"/>
      <c r="T369" s="20" t="n"/>
      <c r="U369" s="20" t="n"/>
      <c r="V369" s="12" t="n"/>
      <c r="W369" s="12" t="n"/>
      <c r="X369" s="18">
        <f>IF($E369="","",IF(AND($B369&lt;&gt;"",ISNA(MATCH($B369,机构表,0))),"※机构不在【资料】里",IF(AND($D369&lt;&gt;"",ISNA(MATCH($D369,状态表,0))),"※状态不在【资料】里",IF(N($M369)&gt;N($L369),"※已还本金大于典当金额",IF(AND($I369&lt;&gt;"",$J369&lt;&gt;"",$J369&lt;$I369),"※到期日早于当票日期",IF(AND($H369&lt;&gt;"",COUNTIF($H$4:$H$403,$H369)&gt;1),"※当票号在本表里出现了不止一次",IF(AND($L369&lt;&gt;"",$E369=""),"※有金额没写客户","")))))))</f>
        <v/>
      </c>
    </row>
    <row r="370">
      <c r="A370" s="18">
        <f>IF($E370="","",COUNTA($E$4:$E370))</f>
        <v/>
      </c>
      <c r="B370" s="12" t="n"/>
      <c r="C370" s="12" t="n"/>
      <c r="D370" s="12" t="n"/>
      <c r="E370" s="12" t="n"/>
      <c r="F370" s="12" t="n"/>
      <c r="G370" s="12" t="n"/>
      <c r="H370" s="12" t="n"/>
      <c r="I370" s="19" t="n"/>
      <c r="J370" s="19" t="n"/>
      <c r="K370" s="19" t="n"/>
      <c r="L370" s="20" t="n"/>
      <c r="M370" s="20" t="n"/>
      <c r="N370" s="22">
        <f>IF($E370="","",ROUND(N($L370)-N($M370),2))</f>
        <v/>
      </c>
      <c r="O370" s="21" t="n"/>
      <c r="P370" s="20" t="n"/>
      <c r="Q370" s="12" t="n"/>
      <c r="R370" s="19" t="n"/>
      <c r="S370" s="20" t="n"/>
      <c r="T370" s="20" t="n"/>
      <c r="U370" s="20" t="n"/>
      <c r="V370" s="12" t="n"/>
      <c r="W370" s="12" t="n"/>
      <c r="X370" s="18">
        <f>IF($E370="","",IF(AND($B370&lt;&gt;"",ISNA(MATCH($B370,机构表,0))),"※机构不在【资料】里",IF(AND($D370&lt;&gt;"",ISNA(MATCH($D370,状态表,0))),"※状态不在【资料】里",IF(N($M370)&gt;N($L370),"※已还本金大于典当金额",IF(AND($I370&lt;&gt;"",$J370&lt;&gt;"",$J370&lt;$I370),"※到期日早于当票日期",IF(AND($H370&lt;&gt;"",COUNTIF($H$4:$H$403,$H370)&gt;1),"※当票号在本表里出现了不止一次",IF(AND($L370&lt;&gt;"",$E370=""),"※有金额没写客户","")))))))</f>
        <v/>
      </c>
    </row>
    <row r="371">
      <c r="A371" s="18">
        <f>IF($E371="","",COUNTA($E$4:$E371))</f>
        <v/>
      </c>
      <c r="B371" s="12" t="n"/>
      <c r="C371" s="12" t="n"/>
      <c r="D371" s="12" t="n"/>
      <c r="E371" s="12" t="n"/>
      <c r="F371" s="12" t="n"/>
      <c r="G371" s="12" t="n"/>
      <c r="H371" s="12" t="n"/>
      <c r="I371" s="19" t="n"/>
      <c r="J371" s="19" t="n"/>
      <c r="K371" s="19" t="n"/>
      <c r="L371" s="20" t="n"/>
      <c r="M371" s="20" t="n"/>
      <c r="N371" s="22">
        <f>IF($E371="","",ROUND(N($L371)-N($M371),2))</f>
        <v/>
      </c>
      <c r="O371" s="21" t="n"/>
      <c r="P371" s="20" t="n"/>
      <c r="Q371" s="12" t="n"/>
      <c r="R371" s="19" t="n"/>
      <c r="S371" s="20" t="n"/>
      <c r="T371" s="20" t="n"/>
      <c r="U371" s="20" t="n"/>
      <c r="V371" s="12" t="n"/>
      <c r="W371" s="12" t="n"/>
      <c r="X371" s="18">
        <f>IF($E371="","",IF(AND($B371&lt;&gt;"",ISNA(MATCH($B371,机构表,0))),"※机构不在【资料】里",IF(AND($D371&lt;&gt;"",ISNA(MATCH($D371,状态表,0))),"※状态不在【资料】里",IF(N($M371)&gt;N($L371),"※已还本金大于典当金额",IF(AND($I371&lt;&gt;"",$J371&lt;&gt;"",$J371&lt;$I371),"※到期日早于当票日期",IF(AND($H371&lt;&gt;"",COUNTIF($H$4:$H$403,$H371)&gt;1),"※当票号在本表里出现了不止一次",IF(AND($L371&lt;&gt;"",$E371=""),"※有金额没写客户","")))))))</f>
        <v/>
      </c>
    </row>
    <row r="372">
      <c r="A372" s="18">
        <f>IF($E372="","",COUNTA($E$4:$E372))</f>
        <v/>
      </c>
      <c r="B372" s="12" t="n"/>
      <c r="C372" s="12" t="n"/>
      <c r="D372" s="12" t="n"/>
      <c r="E372" s="12" t="n"/>
      <c r="F372" s="12" t="n"/>
      <c r="G372" s="12" t="n"/>
      <c r="H372" s="12" t="n"/>
      <c r="I372" s="19" t="n"/>
      <c r="J372" s="19" t="n"/>
      <c r="K372" s="19" t="n"/>
      <c r="L372" s="20" t="n"/>
      <c r="M372" s="20" t="n"/>
      <c r="N372" s="22">
        <f>IF($E372="","",ROUND(N($L372)-N($M372),2))</f>
        <v/>
      </c>
      <c r="O372" s="21" t="n"/>
      <c r="P372" s="20" t="n"/>
      <c r="Q372" s="12" t="n"/>
      <c r="R372" s="19" t="n"/>
      <c r="S372" s="20" t="n"/>
      <c r="T372" s="20" t="n"/>
      <c r="U372" s="20" t="n"/>
      <c r="V372" s="12" t="n"/>
      <c r="W372" s="12" t="n"/>
      <c r="X372" s="18">
        <f>IF($E372="","",IF(AND($B372&lt;&gt;"",ISNA(MATCH($B372,机构表,0))),"※机构不在【资料】里",IF(AND($D372&lt;&gt;"",ISNA(MATCH($D372,状态表,0))),"※状态不在【资料】里",IF(N($M372)&gt;N($L372),"※已还本金大于典当金额",IF(AND($I372&lt;&gt;"",$J372&lt;&gt;"",$J372&lt;$I372),"※到期日早于当票日期",IF(AND($H372&lt;&gt;"",COUNTIF($H$4:$H$403,$H372)&gt;1),"※当票号在本表里出现了不止一次",IF(AND($L372&lt;&gt;"",$E372=""),"※有金额没写客户","")))))))</f>
        <v/>
      </c>
    </row>
    <row r="373">
      <c r="A373" s="18">
        <f>IF($E373="","",COUNTA($E$4:$E373))</f>
        <v/>
      </c>
      <c r="B373" s="12" t="n"/>
      <c r="C373" s="12" t="n"/>
      <c r="D373" s="12" t="n"/>
      <c r="E373" s="12" t="n"/>
      <c r="F373" s="12" t="n"/>
      <c r="G373" s="12" t="n"/>
      <c r="H373" s="12" t="n"/>
      <c r="I373" s="19" t="n"/>
      <c r="J373" s="19" t="n"/>
      <c r="K373" s="19" t="n"/>
      <c r="L373" s="20" t="n"/>
      <c r="M373" s="20" t="n"/>
      <c r="N373" s="22">
        <f>IF($E373="","",ROUND(N($L373)-N($M373),2))</f>
        <v/>
      </c>
      <c r="O373" s="21" t="n"/>
      <c r="P373" s="20" t="n"/>
      <c r="Q373" s="12" t="n"/>
      <c r="R373" s="19" t="n"/>
      <c r="S373" s="20" t="n"/>
      <c r="T373" s="20" t="n"/>
      <c r="U373" s="20" t="n"/>
      <c r="V373" s="12" t="n"/>
      <c r="W373" s="12" t="n"/>
      <c r="X373" s="18">
        <f>IF($E373="","",IF(AND($B373&lt;&gt;"",ISNA(MATCH($B373,机构表,0))),"※机构不在【资料】里",IF(AND($D373&lt;&gt;"",ISNA(MATCH($D373,状态表,0))),"※状态不在【资料】里",IF(N($M373)&gt;N($L373),"※已还本金大于典当金额",IF(AND($I373&lt;&gt;"",$J373&lt;&gt;"",$J373&lt;$I373),"※到期日早于当票日期",IF(AND($H373&lt;&gt;"",COUNTIF($H$4:$H$403,$H373)&gt;1),"※当票号在本表里出现了不止一次",IF(AND($L373&lt;&gt;"",$E373=""),"※有金额没写客户","")))))))</f>
        <v/>
      </c>
    </row>
    <row r="374">
      <c r="A374" s="18">
        <f>IF($E374="","",COUNTA($E$4:$E374))</f>
        <v/>
      </c>
      <c r="B374" s="12" t="n"/>
      <c r="C374" s="12" t="n"/>
      <c r="D374" s="12" t="n"/>
      <c r="E374" s="12" t="n"/>
      <c r="F374" s="12" t="n"/>
      <c r="G374" s="12" t="n"/>
      <c r="H374" s="12" t="n"/>
      <c r="I374" s="19" t="n"/>
      <c r="J374" s="19" t="n"/>
      <c r="K374" s="19" t="n"/>
      <c r="L374" s="20" t="n"/>
      <c r="M374" s="20" t="n"/>
      <c r="N374" s="22">
        <f>IF($E374="","",ROUND(N($L374)-N($M374),2))</f>
        <v/>
      </c>
      <c r="O374" s="21" t="n"/>
      <c r="P374" s="20" t="n"/>
      <c r="Q374" s="12" t="n"/>
      <c r="R374" s="19" t="n"/>
      <c r="S374" s="20" t="n"/>
      <c r="T374" s="20" t="n"/>
      <c r="U374" s="20" t="n"/>
      <c r="V374" s="12" t="n"/>
      <c r="W374" s="12" t="n"/>
      <c r="X374" s="18">
        <f>IF($E374="","",IF(AND($B374&lt;&gt;"",ISNA(MATCH($B374,机构表,0))),"※机构不在【资料】里",IF(AND($D374&lt;&gt;"",ISNA(MATCH($D374,状态表,0))),"※状态不在【资料】里",IF(N($M374)&gt;N($L374),"※已还本金大于典当金额",IF(AND($I374&lt;&gt;"",$J374&lt;&gt;"",$J374&lt;$I374),"※到期日早于当票日期",IF(AND($H374&lt;&gt;"",COUNTIF($H$4:$H$403,$H374)&gt;1),"※当票号在本表里出现了不止一次",IF(AND($L374&lt;&gt;"",$E374=""),"※有金额没写客户","")))))))</f>
        <v/>
      </c>
    </row>
    <row r="375">
      <c r="A375" s="18">
        <f>IF($E375="","",COUNTA($E$4:$E375))</f>
        <v/>
      </c>
      <c r="B375" s="12" t="n"/>
      <c r="C375" s="12" t="n"/>
      <c r="D375" s="12" t="n"/>
      <c r="E375" s="12" t="n"/>
      <c r="F375" s="12" t="n"/>
      <c r="G375" s="12" t="n"/>
      <c r="H375" s="12" t="n"/>
      <c r="I375" s="19" t="n"/>
      <c r="J375" s="19" t="n"/>
      <c r="K375" s="19" t="n"/>
      <c r="L375" s="20" t="n"/>
      <c r="M375" s="20" t="n"/>
      <c r="N375" s="22">
        <f>IF($E375="","",ROUND(N($L375)-N($M375),2))</f>
        <v/>
      </c>
      <c r="O375" s="21" t="n"/>
      <c r="P375" s="20" t="n"/>
      <c r="Q375" s="12" t="n"/>
      <c r="R375" s="19" t="n"/>
      <c r="S375" s="20" t="n"/>
      <c r="T375" s="20" t="n"/>
      <c r="U375" s="20" t="n"/>
      <c r="V375" s="12" t="n"/>
      <c r="W375" s="12" t="n"/>
      <c r="X375" s="18">
        <f>IF($E375="","",IF(AND($B375&lt;&gt;"",ISNA(MATCH($B375,机构表,0))),"※机构不在【资料】里",IF(AND($D375&lt;&gt;"",ISNA(MATCH($D375,状态表,0))),"※状态不在【资料】里",IF(N($M375)&gt;N($L375),"※已还本金大于典当金额",IF(AND($I375&lt;&gt;"",$J375&lt;&gt;"",$J375&lt;$I375),"※到期日早于当票日期",IF(AND($H375&lt;&gt;"",COUNTIF($H$4:$H$403,$H375)&gt;1),"※当票号在本表里出现了不止一次",IF(AND($L375&lt;&gt;"",$E375=""),"※有金额没写客户","")))))))</f>
        <v/>
      </c>
    </row>
    <row r="376">
      <c r="A376" s="18">
        <f>IF($E376="","",COUNTA($E$4:$E376))</f>
        <v/>
      </c>
      <c r="B376" s="12" t="n"/>
      <c r="C376" s="12" t="n"/>
      <c r="D376" s="12" t="n"/>
      <c r="E376" s="12" t="n"/>
      <c r="F376" s="12" t="n"/>
      <c r="G376" s="12" t="n"/>
      <c r="H376" s="12" t="n"/>
      <c r="I376" s="19" t="n"/>
      <c r="J376" s="19" t="n"/>
      <c r="K376" s="19" t="n"/>
      <c r="L376" s="20" t="n"/>
      <c r="M376" s="20" t="n"/>
      <c r="N376" s="22">
        <f>IF($E376="","",ROUND(N($L376)-N($M376),2))</f>
        <v/>
      </c>
      <c r="O376" s="21" t="n"/>
      <c r="P376" s="20" t="n"/>
      <c r="Q376" s="12" t="n"/>
      <c r="R376" s="19" t="n"/>
      <c r="S376" s="20" t="n"/>
      <c r="T376" s="20" t="n"/>
      <c r="U376" s="20" t="n"/>
      <c r="V376" s="12" t="n"/>
      <c r="W376" s="12" t="n"/>
      <c r="X376" s="18">
        <f>IF($E376="","",IF(AND($B376&lt;&gt;"",ISNA(MATCH($B376,机构表,0))),"※机构不在【资料】里",IF(AND($D376&lt;&gt;"",ISNA(MATCH($D376,状态表,0))),"※状态不在【资料】里",IF(N($M376)&gt;N($L376),"※已还本金大于典当金额",IF(AND($I376&lt;&gt;"",$J376&lt;&gt;"",$J376&lt;$I376),"※到期日早于当票日期",IF(AND($H376&lt;&gt;"",COUNTIF($H$4:$H$403,$H376)&gt;1),"※当票号在本表里出现了不止一次",IF(AND($L376&lt;&gt;"",$E376=""),"※有金额没写客户","")))))))</f>
        <v/>
      </c>
    </row>
    <row r="377">
      <c r="A377" s="18">
        <f>IF($E377="","",COUNTA($E$4:$E377))</f>
        <v/>
      </c>
      <c r="B377" s="12" t="n"/>
      <c r="C377" s="12" t="n"/>
      <c r="D377" s="12" t="n"/>
      <c r="E377" s="12" t="n"/>
      <c r="F377" s="12" t="n"/>
      <c r="G377" s="12" t="n"/>
      <c r="H377" s="12" t="n"/>
      <c r="I377" s="19" t="n"/>
      <c r="J377" s="19" t="n"/>
      <c r="K377" s="19" t="n"/>
      <c r="L377" s="20" t="n"/>
      <c r="M377" s="20" t="n"/>
      <c r="N377" s="22">
        <f>IF($E377="","",ROUND(N($L377)-N($M377),2))</f>
        <v/>
      </c>
      <c r="O377" s="21" t="n"/>
      <c r="P377" s="20" t="n"/>
      <c r="Q377" s="12" t="n"/>
      <c r="R377" s="19" t="n"/>
      <c r="S377" s="20" t="n"/>
      <c r="T377" s="20" t="n"/>
      <c r="U377" s="20" t="n"/>
      <c r="V377" s="12" t="n"/>
      <c r="W377" s="12" t="n"/>
      <c r="X377" s="18">
        <f>IF($E377="","",IF(AND($B377&lt;&gt;"",ISNA(MATCH($B377,机构表,0))),"※机构不在【资料】里",IF(AND($D377&lt;&gt;"",ISNA(MATCH($D377,状态表,0))),"※状态不在【资料】里",IF(N($M377)&gt;N($L377),"※已还本金大于典当金额",IF(AND($I377&lt;&gt;"",$J377&lt;&gt;"",$J377&lt;$I377),"※到期日早于当票日期",IF(AND($H377&lt;&gt;"",COUNTIF($H$4:$H$403,$H377)&gt;1),"※当票号在本表里出现了不止一次",IF(AND($L377&lt;&gt;"",$E377=""),"※有金额没写客户","")))))))</f>
        <v/>
      </c>
    </row>
    <row r="378">
      <c r="A378" s="18">
        <f>IF($E378="","",COUNTA($E$4:$E378))</f>
        <v/>
      </c>
      <c r="B378" s="12" t="n"/>
      <c r="C378" s="12" t="n"/>
      <c r="D378" s="12" t="n"/>
      <c r="E378" s="12" t="n"/>
      <c r="F378" s="12" t="n"/>
      <c r="G378" s="12" t="n"/>
      <c r="H378" s="12" t="n"/>
      <c r="I378" s="19" t="n"/>
      <c r="J378" s="19" t="n"/>
      <c r="K378" s="19" t="n"/>
      <c r="L378" s="20" t="n"/>
      <c r="M378" s="20" t="n"/>
      <c r="N378" s="22">
        <f>IF($E378="","",ROUND(N($L378)-N($M378),2))</f>
        <v/>
      </c>
      <c r="O378" s="21" t="n"/>
      <c r="P378" s="20" t="n"/>
      <c r="Q378" s="12" t="n"/>
      <c r="R378" s="19" t="n"/>
      <c r="S378" s="20" t="n"/>
      <c r="T378" s="20" t="n"/>
      <c r="U378" s="20" t="n"/>
      <c r="V378" s="12" t="n"/>
      <c r="W378" s="12" t="n"/>
      <c r="X378" s="18">
        <f>IF($E378="","",IF(AND($B378&lt;&gt;"",ISNA(MATCH($B378,机构表,0))),"※机构不在【资料】里",IF(AND($D378&lt;&gt;"",ISNA(MATCH($D378,状态表,0))),"※状态不在【资料】里",IF(N($M378)&gt;N($L378),"※已还本金大于典当金额",IF(AND($I378&lt;&gt;"",$J378&lt;&gt;"",$J378&lt;$I378),"※到期日早于当票日期",IF(AND($H378&lt;&gt;"",COUNTIF($H$4:$H$403,$H378)&gt;1),"※当票号在本表里出现了不止一次",IF(AND($L378&lt;&gt;"",$E378=""),"※有金额没写客户","")))))))</f>
        <v/>
      </c>
    </row>
    <row r="379">
      <c r="A379" s="18">
        <f>IF($E379="","",COUNTA($E$4:$E379))</f>
        <v/>
      </c>
      <c r="B379" s="12" t="n"/>
      <c r="C379" s="12" t="n"/>
      <c r="D379" s="12" t="n"/>
      <c r="E379" s="12" t="n"/>
      <c r="F379" s="12" t="n"/>
      <c r="G379" s="12" t="n"/>
      <c r="H379" s="12" t="n"/>
      <c r="I379" s="19" t="n"/>
      <c r="J379" s="19" t="n"/>
      <c r="K379" s="19" t="n"/>
      <c r="L379" s="20" t="n"/>
      <c r="M379" s="20" t="n"/>
      <c r="N379" s="22">
        <f>IF($E379="","",ROUND(N($L379)-N($M379),2))</f>
        <v/>
      </c>
      <c r="O379" s="21" t="n"/>
      <c r="P379" s="20" t="n"/>
      <c r="Q379" s="12" t="n"/>
      <c r="R379" s="19" t="n"/>
      <c r="S379" s="20" t="n"/>
      <c r="T379" s="20" t="n"/>
      <c r="U379" s="20" t="n"/>
      <c r="V379" s="12" t="n"/>
      <c r="W379" s="12" t="n"/>
      <c r="X379" s="18">
        <f>IF($E379="","",IF(AND($B379&lt;&gt;"",ISNA(MATCH($B379,机构表,0))),"※机构不在【资料】里",IF(AND($D379&lt;&gt;"",ISNA(MATCH($D379,状态表,0))),"※状态不在【资料】里",IF(N($M379)&gt;N($L379),"※已还本金大于典当金额",IF(AND($I379&lt;&gt;"",$J379&lt;&gt;"",$J379&lt;$I379),"※到期日早于当票日期",IF(AND($H379&lt;&gt;"",COUNTIF($H$4:$H$403,$H379)&gt;1),"※当票号在本表里出现了不止一次",IF(AND($L379&lt;&gt;"",$E379=""),"※有金额没写客户","")))))))</f>
        <v/>
      </c>
    </row>
    <row r="380">
      <c r="A380" s="18">
        <f>IF($E380="","",COUNTA($E$4:$E380))</f>
        <v/>
      </c>
      <c r="B380" s="12" t="n"/>
      <c r="C380" s="12" t="n"/>
      <c r="D380" s="12" t="n"/>
      <c r="E380" s="12" t="n"/>
      <c r="F380" s="12" t="n"/>
      <c r="G380" s="12" t="n"/>
      <c r="H380" s="12" t="n"/>
      <c r="I380" s="19" t="n"/>
      <c r="J380" s="19" t="n"/>
      <c r="K380" s="19" t="n"/>
      <c r="L380" s="20" t="n"/>
      <c r="M380" s="20" t="n"/>
      <c r="N380" s="22">
        <f>IF($E380="","",ROUND(N($L380)-N($M380),2))</f>
        <v/>
      </c>
      <c r="O380" s="21" t="n"/>
      <c r="P380" s="20" t="n"/>
      <c r="Q380" s="12" t="n"/>
      <c r="R380" s="19" t="n"/>
      <c r="S380" s="20" t="n"/>
      <c r="T380" s="20" t="n"/>
      <c r="U380" s="20" t="n"/>
      <c r="V380" s="12" t="n"/>
      <c r="W380" s="12" t="n"/>
      <c r="X380" s="18">
        <f>IF($E380="","",IF(AND($B380&lt;&gt;"",ISNA(MATCH($B380,机构表,0))),"※机构不在【资料】里",IF(AND($D380&lt;&gt;"",ISNA(MATCH($D380,状态表,0))),"※状态不在【资料】里",IF(N($M380)&gt;N($L380),"※已还本金大于典当金额",IF(AND($I380&lt;&gt;"",$J380&lt;&gt;"",$J380&lt;$I380),"※到期日早于当票日期",IF(AND($H380&lt;&gt;"",COUNTIF($H$4:$H$403,$H380)&gt;1),"※当票号在本表里出现了不止一次",IF(AND($L380&lt;&gt;"",$E380=""),"※有金额没写客户","")))))))</f>
        <v/>
      </c>
    </row>
    <row r="381">
      <c r="A381" s="18">
        <f>IF($E381="","",COUNTA($E$4:$E381))</f>
        <v/>
      </c>
      <c r="B381" s="12" t="n"/>
      <c r="C381" s="12" t="n"/>
      <c r="D381" s="12" t="n"/>
      <c r="E381" s="12" t="n"/>
      <c r="F381" s="12" t="n"/>
      <c r="G381" s="12" t="n"/>
      <c r="H381" s="12" t="n"/>
      <c r="I381" s="19" t="n"/>
      <c r="J381" s="19" t="n"/>
      <c r="K381" s="19" t="n"/>
      <c r="L381" s="20" t="n"/>
      <c r="M381" s="20" t="n"/>
      <c r="N381" s="22">
        <f>IF($E381="","",ROUND(N($L381)-N($M381),2))</f>
        <v/>
      </c>
      <c r="O381" s="21" t="n"/>
      <c r="P381" s="20" t="n"/>
      <c r="Q381" s="12" t="n"/>
      <c r="R381" s="19" t="n"/>
      <c r="S381" s="20" t="n"/>
      <c r="T381" s="20" t="n"/>
      <c r="U381" s="20" t="n"/>
      <c r="V381" s="12" t="n"/>
      <c r="W381" s="12" t="n"/>
      <c r="X381" s="18">
        <f>IF($E381="","",IF(AND($B381&lt;&gt;"",ISNA(MATCH($B381,机构表,0))),"※机构不在【资料】里",IF(AND($D381&lt;&gt;"",ISNA(MATCH($D381,状态表,0))),"※状态不在【资料】里",IF(N($M381)&gt;N($L381),"※已还本金大于典当金额",IF(AND($I381&lt;&gt;"",$J381&lt;&gt;"",$J381&lt;$I381),"※到期日早于当票日期",IF(AND($H381&lt;&gt;"",COUNTIF($H$4:$H$403,$H381)&gt;1),"※当票号在本表里出现了不止一次",IF(AND($L381&lt;&gt;"",$E381=""),"※有金额没写客户","")))))))</f>
        <v/>
      </c>
    </row>
    <row r="382">
      <c r="A382" s="18">
        <f>IF($E382="","",COUNTA($E$4:$E382))</f>
        <v/>
      </c>
      <c r="B382" s="12" t="n"/>
      <c r="C382" s="12" t="n"/>
      <c r="D382" s="12" t="n"/>
      <c r="E382" s="12" t="n"/>
      <c r="F382" s="12" t="n"/>
      <c r="G382" s="12" t="n"/>
      <c r="H382" s="12" t="n"/>
      <c r="I382" s="19" t="n"/>
      <c r="J382" s="19" t="n"/>
      <c r="K382" s="19" t="n"/>
      <c r="L382" s="20" t="n"/>
      <c r="M382" s="20" t="n"/>
      <c r="N382" s="22">
        <f>IF($E382="","",ROUND(N($L382)-N($M382),2))</f>
        <v/>
      </c>
      <c r="O382" s="21" t="n"/>
      <c r="P382" s="20" t="n"/>
      <c r="Q382" s="12" t="n"/>
      <c r="R382" s="19" t="n"/>
      <c r="S382" s="20" t="n"/>
      <c r="T382" s="20" t="n"/>
      <c r="U382" s="20" t="n"/>
      <c r="V382" s="12" t="n"/>
      <c r="W382" s="12" t="n"/>
      <c r="X382" s="18">
        <f>IF($E382="","",IF(AND($B382&lt;&gt;"",ISNA(MATCH($B382,机构表,0))),"※机构不在【资料】里",IF(AND($D382&lt;&gt;"",ISNA(MATCH($D382,状态表,0))),"※状态不在【资料】里",IF(N($M382)&gt;N($L382),"※已还本金大于典当金额",IF(AND($I382&lt;&gt;"",$J382&lt;&gt;"",$J382&lt;$I382),"※到期日早于当票日期",IF(AND($H382&lt;&gt;"",COUNTIF($H$4:$H$403,$H382)&gt;1),"※当票号在本表里出现了不止一次",IF(AND($L382&lt;&gt;"",$E382=""),"※有金额没写客户","")))))))</f>
        <v/>
      </c>
    </row>
    <row r="383">
      <c r="A383" s="18">
        <f>IF($E383="","",COUNTA($E$4:$E383))</f>
        <v/>
      </c>
      <c r="B383" s="12" t="n"/>
      <c r="C383" s="12" t="n"/>
      <c r="D383" s="12" t="n"/>
      <c r="E383" s="12" t="n"/>
      <c r="F383" s="12" t="n"/>
      <c r="G383" s="12" t="n"/>
      <c r="H383" s="12" t="n"/>
      <c r="I383" s="19" t="n"/>
      <c r="J383" s="19" t="n"/>
      <c r="K383" s="19" t="n"/>
      <c r="L383" s="20" t="n"/>
      <c r="M383" s="20" t="n"/>
      <c r="N383" s="22">
        <f>IF($E383="","",ROUND(N($L383)-N($M383),2))</f>
        <v/>
      </c>
      <c r="O383" s="21" t="n"/>
      <c r="P383" s="20" t="n"/>
      <c r="Q383" s="12" t="n"/>
      <c r="R383" s="19" t="n"/>
      <c r="S383" s="20" t="n"/>
      <c r="T383" s="20" t="n"/>
      <c r="U383" s="20" t="n"/>
      <c r="V383" s="12" t="n"/>
      <c r="W383" s="12" t="n"/>
      <c r="X383" s="18">
        <f>IF($E383="","",IF(AND($B383&lt;&gt;"",ISNA(MATCH($B383,机构表,0))),"※机构不在【资料】里",IF(AND($D383&lt;&gt;"",ISNA(MATCH($D383,状态表,0))),"※状态不在【资料】里",IF(N($M383)&gt;N($L383),"※已还本金大于典当金额",IF(AND($I383&lt;&gt;"",$J383&lt;&gt;"",$J383&lt;$I383),"※到期日早于当票日期",IF(AND($H383&lt;&gt;"",COUNTIF($H$4:$H$403,$H383)&gt;1),"※当票号在本表里出现了不止一次",IF(AND($L383&lt;&gt;"",$E383=""),"※有金额没写客户","")))))))</f>
        <v/>
      </c>
    </row>
    <row r="384">
      <c r="A384" s="18">
        <f>IF($E384="","",COUNTA($E$4:$E384))</f>
        <v/>
      </c>
      <c r="B384" s="12" t="n"/>
      <c r="C384" s="12" t="n"/>
      <c r="D384" s="12" t="n"/>
      <c r="E384" s="12" t="n"/>
      <c r="F384" s="12" t="n"/>
      <c r="G384" s="12" t="n"/>
      <c r="H384" s="12" t="n"/>
      <c r="I384" s="19" t="n"/>
      <c r="J384" s="19" t="n"/>
      <c r="K384" s="19" t="n"/>
      <c r="L384" s="20" t="n"/>
      <c r="M384" s="20" t="n"/>
      <c r="N384" s="22">
        <f>IF($E384="","",ROUND(N($L384)-N($M384),2))</f>
        <v/>
      </c>
      <c r="O384" s="21" t="n"/>
      <c r="P384" s="20" t="n"/>
      <c r="Q384" s="12" t="n"/>
      <c r="R384" s="19" t="n"/>
      <c r="S384" s="20" t="n"/>
      <c r="T384" s="20" t="n"/>
      <c r="U384" s="20" t="n"/>
      <c r="V384" s="12" t="n"/>
      <c r="W384" s="12" t="n"/>
      <c r="X384" s="18">
        <f>IF($E384="","",IF(AND($B384&lt;&gt;"",ISNA(MATCH($B384,机构表,0))),"※机构不在【资料】里",IF(AND($D384&lt;&gt;"",ISNA(MATCH($D384,状态表,0))),"※状态不在【资料】里",IF(N($M384)&gt;N($L384),"※已还本金大于典当金额",IF(AND($I384&lt;&gt;"",$J384&lt;&gt;"",$J384&lt;$I384),"※到期日早于当票日期",IF(AND($H384&lt;&gt;"",COUNTIF($H$4:$H$403,$H384)&gt;1),"※当票号在本表里出现了不止一次",IF(AND($L384&lt;&gt;"",$E384=""),"※有金额没写客户","")))))))</f>
        <v/>
      </c>
    </row>
    <row r="385">
      <c r="A385" s="18">
        <f>IF($E385="","",COUNTA($E$4:$E385))</f>
        <v/>
      </c>
      <c r="B385" s="12" t="n"/>
      <c r="C385" s="12" t="n"/>
      <c r="D385" s="12" t="n"/>
      <c r="E385" s="12" t="n"/>
      <c r="F385" s="12" t="n"/>
      <c r="G385" s="12" t="n"/>
      <c r="H385" s="12" t="n"/>
      <c r="I385" s="19" t="n"/>
      <c r="J385" s="19" t="n"/>
      <c r="K385" s="19" t="n"/>
      <c r="L385" s="20" t="n"/>
      <c r="M385" s="20" t="n"/>
      <c r="N385" s="22">
        <f>IF($E385="","",ROUND(N($L385)-N($M385),2))</f>
        <v/>
      </c>
      <c r="O385" s="21" t="n"/>
      <c r="P385" s="20" t="n"/>
      <c r="Q385" s="12" t="n"/>
      <c r="R385" s="19" t="n"/>
      <c r="S385" s="20" t="n"/>
      <c r="T385" s="20" t="n"/>
      <c r="U385" s="20" t="n"/>
      <c r="V385" s="12" t="n"/>
      <c r="W385" s="12" t="n"/>
      <c r="X385" s="18">
        <f>IF($E385="","",IF(AND($B385&lt;&gt;"",ISNA(MATCH($B385,机构表,0))),"※机构不在【资料】里",IF(AND($D385&lt;&gt;"",ISNA(MATCH($D385,状态表,0))),"※状态不在【资料】里",IF(N($M385)&gt;N($L385),"※已还本金大于典当金额",IF(AND($I385&lt;&gt;"",$J385&lt;&gt;"",$J385&lt;$I385),"※到期日早于当票日期",IF(AND($H385&lt;&gt;"",COUNTIF($H$4:$H$403,$H385)&gt;1),"※当票号在本表里出现了不止一次",IF(AND($L385&lt;&gt;"",$E385=""),"※有金额没写客户","")))))))</f>
        <v/>
      </c>
    </row>
    <row r="386">
      <c r="A386" s="18">
        <f>IF($E386="","",COUNTA($E$4:$E386))</f>
        <v/>
      </c>
      <c r="B386" s="12" t="n"/>
      <c r="C386" s="12" t="n"/>
      <c r="D386" s="12" t="n"/>
      <c r="E386" s="12" t="n"/>
      <c r="F386" s="12" t="n"/>
      <c r="G386" s="12" t="n"/>
      <c r="H386" s="12" t="n"/>
      <c r="I386" s="19" t="n"/>
      <c r="J386" s="19" t="n"/>
      <c r="K386" s="19" t="n"/>
      <c r="L386" s="20" t="n"/>
      <c r="M386" s="20" t="n"/>
      <c r="N386" s="22">
        <f>IF($E386="","",ROUND(N($L386)-N($M386),2))</f>
        <v/>
      </c>
      <c r="O386" s="21" t="n"/>
      <c r="P386" s="20" t="n"/>
      <c r="Q386" s="12" t="n"/>
      <c r="R386" s="19" t="n"/>
      <c r="S386" s="20" t="n"/>
      <c r="T386" s="20" t="n"/>
      <c r="U386" s="20" t="n"/>
      <c r="V386" s="12" t="n"/>
      <c r="W386" s="12" t="n"/>
      <c r="X386" s="18">
        <f>IF($E386="","",IF(AND($B386&lt;&gt;"",ISNA(MATCH($B386,机构表,0))),"※机构不在【资料】里",IF(AND($D386&lt;&gt;"",ISNA(MATCH($D386,状态表,0))),"※状态不在【资料】里",IF(N($M386)&gt;N($L386),"※已还本金大于典当金额",IF(AND($I386&lt;&gt;"",$J386&lt;&gt;"",$J386&lt;$I386),"※到期日早于当票日期",IF(AND($H386&lt;&gt;"",COUNTIF($H$4:$H$403,$H386)&gt;1),"※当票号在本表里出现了不止一次",IF(AND($L386&lt;&gt;"",$E386=""),"※有金额没写客户","")))))))</f>
        <v/>
      </c>
    </row>
    <row r="387">
      <c r="A387" s="18">
        <f>IF($E387="","",COUNTA($E$4:$E387))</f>
        <v/>
      </c>
      <c r="B387" s="12" t="n"/>
      <c r="C387" s="12" t="n"/>
      <c r="D387" s="12" t="n"/>
      <c r="E387" s="12" t="n"/>
      <c r="F387" s="12" t="n"/>
      <c r="G387" s="12" t="n"/>
      <c r="H387" s="12" t="n"/>
      <c r="I387" s="19" t="n"/>
      <c r="J387" s="19" t="n"/>
      <c r="K387" s="19" t="n"/>
      <c r="L387" s="20" t="n"/>
      <c r="M387" s="20" t="n"/>
      <c r="N387" s="22">
        <f>IF($E387="","",ROUND(N($L387)-N($M387),2))</f>
        <v/>
      </c>
      <c r="O387" s="21" t="n"/>
      <c r="P387" s="20" t="n"/>
      <c r="Q387" s="12" t="n"/>
      <c r="R387" s="19" t="n"/>
      <c r="S387" s="20" t="n"/>
      <c r="T387" s="20" t="n"/>
      <c r="U387" s="20" t="n"/>
      <c r="V387" s="12" t="n"/>
      <c r="W387" s="12" t="n"/>
      <c r="X387" s="18">
        <f>IF($E387="","",IF(AND($B387&lt;&gt;"",ISNA(MATCH($B387,机构表,0))),"※机构不在【资料】里",IF(AND($D387&lt;&gt;"",ISNA(MATCH($D387,状态表,0))),"※状态不在【资料】里",IF(N($M387)&gt;N($L387),"※已还本金大于典当金额",IF(AND($I387&lt;&gt;"",$J387&lt;&gt;"",$J387&lt;$I387),"※到期日早于当票日期",IF(AND($H387&lt;&gt;"",COUNTIF($H$4:$H$403,$H387)&gt;1),"※当票号在本表里出现了不止一次",IF(AND($L387&lt;&gt;"",$E387=""),"※有金额没写客户","")))))))</f>
        <v/>
      </c>
    </row>
    <row r="388">
      <c r="A388" s="18">
        <f>IF($E388="","",COUNTA($E$4:$E388))</f>
        <v/>
      </c>
      <c r="B388" s="12" t="n"/>
      <c r="C388" s="12" t="n"/>
      <c r="D388" s="12" t="n"/>
      <c r="E388" s="12" t="n"/>
      <c r="F388" s="12" t="n"/>
      <c r="G388" s="12" t="n"/>
      <c r="H388" s="12" t="n"/>
      <c r="I388" s="19" t="n"/>
      <c r="J388" s="19" t="n"/>
      <c r="K388" s="19" t="n"/>
      <c r="L388" s="20" t="n"/>
      <c r="M388" s="20" t="n"/>
      <c r="N388" s="22">
        <f>IF($E388="","",ROUND(N($L388)-N($M388),2))</f>
        <v/>
      </c>
      <c r="O388" s="21" t="n"/>
      <c r="P388" s="20" t="n"/>
      <c r="Q388" s="12" t="n"/>
      <c r="R388" s="19" t="n"/>
      <c r="S388" s="20" t="n"/>
      <c r="T388" s="20" t="n"/>
      <c r="U388" s="20" t="n"/>
      <c r="V388" s="12" t="n"/>
      <c r="W388" s="12" t="n"/>
      <c r="X388" s="18">
        <f>IF($E388="","",IF(AND($B388&lt;&gt;"",ISNA(MATCH($B388,机构表,0))),"※机构不在【资料】里",IF(AND($D388&lt;&gt;"",ISNA(MATCH($D388,状态表,0))),"※状态不在【资料】里",IF(N($M388)&gt;N($L388),"※已还本金大于典当金额",IF(AND($I388&lt;&gt;"",$J388&lt;&gt;"",$J388&lt;$I388),"※到期日早于当票日期",IF(AND($H388&lt;&gt;"",COUNTIF($H$4:$H$403,$H388)&gt;1),"※当票号在本表里出现了不止一次",IF(AND($L388&lt;&gt;"",$E388=""),"※有金额没写客户","")))))))</f>
        <v/>
      </c>
    </row>
    <row r="389">
      <c r="A389" s="18">
        <f>IF($E389="","",COUNTA($E$4:$E389))</f>
        <v/>
      </c>
      <c r="B389" s="12" t="n"/>
      <c r="C389" s="12" t="n"/>
      <c r="D389" s="12" t="n"/>
      <c r="E389" s="12" t="n"/>
      <c r="F389" s="12" t="n"/>
      <c r="G389" s="12" t="n"/>
      <c r="H389" s="12" t="n"/>
      <c r="I389" s="19" t="n"/>
      <c r="J389" s="19" t="n"/>
      <c r="K389" s="19" t="n"/>
      <c r="L389" s="20" t="n"/>
      <c r="M389" s="20" t="n"/>
      <c r="N389" s="22">
        <f>IF($E389="","",ROUND(N($L389)-N($M389),2))</f>
        <v/>
      </c>
      <c r="O389" s="21" t="n"/>
      <c r="P389" s="20" t="n"/>
      <c r="Q389" s="12" t="n"/>
      <c r="R389" s="19" t="n"/>
      <c r="S389" s="20" t="n"/>
      <c r="T389" s="20" t="n"/>
      <c r="U389" s="20" t="n"/>
      <c r="V389" s="12" t="n"/>
      <c r="W389" s="12" t="n"/>
      <c r="X389" s="18">
        <f>IF($E389="","",IF(AND($B389&lt;&gt;"",ISNA(MATCH($B389,机构表,0))),"※机构不在【资料】里",IF(AND($D389&lt;&gt;"",ISNA(MATCH($D389,状态表,0))),"※状态不在【资料】里",IF(N($M389)&gt;N($L389),"※已还本金大于典当金额",IF(AND($I389&lt;&gt;"",$J389&lt;&gt;"",$J389&lt;$I389),"※到期日早于当票日期",IF(AND($H389&lt;&gt;"",COUNTIF($H$4:$H$403,$H389)&gt;1),"※当票号在本表里出现了不止一次",IF(AND($L389&lt;&gt;"",$E389=""),"※有金额没写客户","")))))))</f>
        <v/>
      </c>
    </row>
    <row r="390">
      <c r="A390" s="18">
        <f>IF($E390="","",COUNTA($E$4:$E390))</f>
        <v/>
      </c>
      <c r="B390" s="12" t="n"/>
      <c r="C390" s="12" t="n"/>
      <c r="D390" s="12" t="n"/>
      <c r="E390" s="12" t="n"/>
      <c r="F390" s="12" t="n"/>
      <c r="G390" s="12" t="n"/>
      <c r="H390" s="12" t="n"/>
      <c r="I390" s="19" t="n"/>
      <c r="J390" s="19" t="n"/>
      <c r="K390" s="19" t="n"/>
      <c r="L390" s="20" t="n"/>
      <c r="M390" s="20" t="n"/>
      <c r="N390" s="22">
        <f>IF($E390="","",ROUND(N($L390)-N($M390),2))</f>
        <v/>
      </c>
      <c r="O390" s="21" t="n"/>
      <c r="P390" s="20" t="n"/>
      <c r="Q390" s="12" t="n"/>
      <c r="R390" s="19" t="n"/>
      <c r="S390" s="20" t="n"/>
      <c r="T390" s="20" t="n"/>
      <c r="U390" s="20" t="n"/>
      <c r="V390" s="12" t="n"/>
      <c r="W390" s="12" t="n"/>
      <c r="X390" s="18">
        <f>IF($E390="","",IF(AND($B390&lt;&gt;"",ISNA(MATCH($B390,机构表,0))),"※机构不在【资料】里",IF(AND($D390&lt;&gt;"",ISNA(MATCH($D390,状态表,0))),"※状态不在【资料】里",IF(N($M390)&gt;N($L390),"※已还本金大于典当金额",IF(AND($I390&lt;&gt;"",$J390&lt;&gt;"",$J390&lt;$I390),"※到期日早于当票日期",IF(AND($H390&lt;&gt;"",COUNTIF($H$4:$H$403,$H390)&gt;1),"※当票号在本表里出现了不止一次",IF(AND($L390&lt;&gt;"",$E390=""),"※有金额没写客户","")))))))</f>
        <v/>
      </c>
    </row>
    <row r="391">
      <c r="A391" s="18">
        <f>IF($E391="","",COUNTA($E$4:$E391))</f>
        <v/>
      </c>
      <c r="B391" s="12" t="n"/>
      <c r="C391" s="12" t="n"/>
      <c r="D391" s="12" t="n"/>
      <c r="E391" s="12" t="n"/>
      <c r="F391" s="12" t="n"/>
      <c r="G391" s="12" t="n"/>
      <c r="H391" s="12" t="n"/>
      <c r="I391" s="19" t="n"/>
      <c r="J391" s="19" t="n"/>
      <c r="K391" s="19" t="n"/>
      <c r="L391" s="20" t="n"/>
      <c r="M391" s="20" t="n"/>
      <c r="N391" s="22">
        <f>IF($E391="","",ROUND(N($L391)-N($M391),2))</f>
        <v/>
      </c>
      <c r="O391" s="21" t="n"/>
      <c r="P391" s="20" t="n"/>
      <c r="Q391" s="12" t="n"/>
      <c r="R391" s="19" t="n"/>
      <c r="S391" s="20" t="n"/>
      <c r="T391" s="20" t="n"/>
      <c r="U391" s="20" t="n"/>
      <c r="V391" s="12" t="n"/>
      <c r="W391" s="12" t="n"/>
      <c r="X391" s="18">
        <f>IF($E391="","",IF(AND($B391&lt;&gt;"",ISNA(MATCH($B391,机构表,0))),"※机构不在【资料】里",IF(AND($D391&lt;&gt;"",ISNA(MATCH($D391,状态表,0))),"※状态不在【资料】里",IF(N($M391)&gt;N($L391),"※已还本金大于典当金额",IF(AND($I391&lt;&gt;"",$J391&lt;&gt;"",$J391&lt;$I391),"※到期日早于当票日期",IF(AND($H391&lt;&gt;"",COUNTIF($H$4:$H$403,$H391)&gt;1),"※当票号在本表里出现了不止一次",IF(AND($L391&lt;&gt;"",$E391=""),"※有金额没写客户","")))))))</f>
        <v/>
      </c>
    </row>
    <row r="392">
      <c r="A392" s="18">
        <f>IF($E392="","",COUNTA($E$4:$E392))</f>
        <v/>
      </c>
      <c r="B392" s="12" t="n"/>
      <c r="C392" s="12" t="n"/>
      <c r="D392" s="12" t="n"/>
      <c r="E392" s="12" t="n"/>
      <c r="F392" s="12" t="n"/>
      <c r="G392" s="12" t="n"/>
      <c r="H392" s="12" t="n"/>
      <c r="I392" s="19" t="n"/>
      <c r="J392" s="19" t="n"/>
      <c r="K392" s="19" t="n"/>
      <c r="L392" s="20" t="n"/>
      <c r="M392" s="20" t="n"/>
      <c r="N392" s="22">
        <f>IF($E392="","",ROUND(N($L392)-N($M392),2))</f>
        <v/>
      </c>
      <c r="O392" s="21" t="n"/>
      <c r="P392" s="20" t="n"/>
      <c r="Q392" s="12" t="n"/>
      <c r="R392" s="19" t="n"/>
      <c r="S392" s="20" t="n"/>
      <c r="T392" s="20" t="n"/>
      <c r="U392" s="20" t="n"/>
      <c r="V392" s="12" t="n"/>
      <c r="W392" s="12" t="n"/>
      <c r="X392" s="18">
        <f>IF($E392="","",IF(AND($B392&lt;&gt;"",ISNA(MATCH($B392,机构表,0))),"※机构不在【资料】里",IF(AND($D392&lt;&gt;"",ISNA(MATCH($D392,状态表,0))),"※状态不在【资料】里",IF(N($M392)&gt;N($L392),"※已还本金大于典当金额",IF(AND($I392&lt;&gt;"",$J392&lt;&gt;"",$J392&lt;$I392),"※到期日早于当票日期",IF(AND($H392&lt;&gt;"",COUNTIF($H$4:$H$403,$H392)&gt;1),"※当票号在本表里出现了不止一次",IF(AND($L392&lt;&gt;"",$E392=""),"※有金额没写客户","")))))))</f>
        <v/>
      </c>
    </row>
    <row r="393">
      <c r="A393" s="18">
        <f>IF($E393="","",COUNTA($E$4:$E393))</f>
        <v/>
      </c>
      <c r="B393" s="12" t="n"/>
      <c r="C393" s="12" t="n"/>
      <c r="D393" s="12" t="n"/>
      <c r="E393" s="12" t="n"/>
      <c r="F393" s="12" t="n"/>
      <c r="G393" s="12" t="n"/>
      <c r="H393" s="12" t="n"/>
      <c r="I393" s="19" t="n"/>
      <c r="J393" s="19" t="n"/>
      <c r="K393" s="19" t="n"/>
      <c r="L393" s="20" t="n"/>
      <c r="M393" s="20" t="n"/>
      <c r="N393" s="22">
        <f>IF($E393="","",ROUND(N($L393)-N($M393),2))</f>
        <v/>
      </c>
      <c r="O393" s="21" t="n"/>
      <c r="P393" s="20" t="n"/>
      <c r="Q393" s="12" t="n"/>
      <c r="R393" s="19" t="n"/>
      <c r="S393" s="20" t="n"/>
      <c r="T393" s="20" t="n"/>
      <c r="U393" s="20" t="n"/>
      <c r="V393" s="12" t="n"/>
      <c r="W393" s="12" t="n"/>
      <c r="X393" s="18">
        <f>IF($E393="","",IF(AND($B393&lt;&gt;"",ISNA(MATCH($B393,机构表,0))),"※机构不在【资料】里",IF(AND($D393&lt;&gt;"",ISNA(MATCH($D393,状态表,0))),"※状态不在【资料】里",IF(N($M393)&gt;N($L393),"※已还本金大于典当金额",IF(AND($I393&lt;&gt;"",$J393&lt;&gt;"",$J393&lt;$I393),"※到期日早于当票日期",IF(AND($H393&lt;&gt;"",COUNTIF($H$4:$H$403,$H393)&gt;1),"※当票号在本表里出现了不止一次",IF(AND($L393&lt;&gt;"",$E393=""),"※有金额没写客户","")))))))</f>
        <v/>
      </c>
    </row>
    <row r="394">
      <c r="A394" s="18">
        <f>IF($E394="","",COUNTA($E$4:$E394))</f>
        <v/>
      </c>
      <c r="B394" s="12" t="n"/>
      <c r="C394" s="12" t="n"/>
      <c r="D394" s="12" t="n"/>
      <c r="E394" s="12" t="n"/>
      <c r="F394" s="12" t="n"/>
      <c r="G394" s="12" t="n"/>
      <c r="H394" s="12" t="n"/>
      <c r="I394" s="19" t="n"/>
      <c r="J394" s="19" t="n"/>
      <c r="K394" s="19" t="n"/>
      <c r="L394" s="20" t="n"/>
      <c r="M394" s="20" t="n"/>
      <c r="N394" s="22">
        <f>IF($E394="","",ROUND(N($L394)-N($M394),2))</f>
        <v/>
      </c>
      <c r="O394" s="21" t="n"/>
      <c r="P394" s="20" t="n"/>
      <c r="Q394" s="12" t="n"/>
      <c r="R394" s="19" t="n"/>
      <c r="S394" s="20" t="n"/>
      <c r="T394" s="20" t="n"/>
      <c r="U394" s="20" t="n"/>
      <c r="V394" s="12" t="n"/>
      <c r="W394" s="12" t="n"/>
      <c r="X394" s="18">
        <f>IF($E394="","",IF(AND($B394&lt;&gt;"",ISNA(MATCH($B394,机构表,0))),"※机构不在【资料】里",IF(AND($D394&lt;&gt;"",ISNA(MATCH($D394,状态表,0))),"※状态不在【资料】里",IF(N($M394)&gt;N($L394),"※已还本金大于典当金额",IF(AND($I394&lt;&gt;"",$J394&lt;&gt;"",$J394&lt;$I394),"※到期日早于当票日期",IF(AND($H394&lt;&gt;"",COUNTIF($H$4:$H$403,$H394)&gt;1),"※当票号在本表里出现了不止一次",IF(AND($L394&lt;&gt;"",$E394=""),"※有金额没写客户","")))))))</f>
        <v/>
      </c>
    </row>
    <row r="395">
      <c r="A395" s="18">
        <f>IF($E395="","",COUNTA($E$4:$E395))</f>
        <v/>
      </c>
      <c r="B395" s="12" t="n"/>
      <c r="C395" s="12" t="n"/>
      <c r="D395" s="12" t="n"/>
      <c r="E395" s="12" t="n"/>
      <c r="F395" s="12" t="n"/>
      <c r="G395" s="12" t="n"/>
      <c r="H395" s="12" t="n"/>
      <c r="I395" s="19" t="n"/>
      <c r="J395" s="19" t="n"/>
      <c r="K395" s="19" t="n"/>
      <c r="L395" s="20" t="n"/>
      <c r="M395" s="20" t="n"/>
      <c r="N395" s="22">
        <f>IF($E395="","",ROUND(N($L395)-N($M395),2))</f>
        <v/>
      </c>
      <c r="O395" s="21" t="n"/>
      <c r="P395" s="20" t="n"/>
      <c r="Q395" s="12" t="n"/>
      <c r="R395" s="19" t="n"/>
      <c r="S395" s="20" t="n"/>
      <c r="T395" s="20" t="n"/>
      <c r="U395" s="20" t="n"/>
      <c r="V395" s="12" t="n"/>
      <c r="W395" s="12" t="n"/>
      <c r="X395" s="18">
        <f>IF($E395="","",IF(AND($B395&lt;&gt;"",ISNA(MATCH($B395,机构表,0))),"※机构不在【资料】里",IF(AND($D395&lt;&gt;"",ISNA(MATCH($D395,状态表,0))),"※状态不在【资料】里",IF(N($M395)&gt;N($L395),"※已还本金大于典当金额",IF(AND($I395&lt;&gt;"",$J395&lt;&gt;"",$J395&lt;$I395),"※到期日早于当票日期",IF(AND($H395&lt;&gt;"",COUNTIF($H$4:$H$403,$H395)&gt;1),"※当票号在本表里出现了不止一次",IF(AND($L395&lt;&gt;"",$E395=""),"※有金额没写客户","")))))))</f>
        <v/>
      </c>
    </row>
    <row r="396">
      <c r="A396" s="18">
        <f>IF($E396="","",COUNTA($E$4:$E396))</f>
        <v/>
      </c>
      <c r="B396" s="12" t="n"/>
      <c r="C396" s="12" t="n"/>
      <c r="D396" s="12" t="n"/>
      <c r="E396" s="12" t="n"/>
      <c r="F396" s="12" t="n"/>
      <c r="G396" s="12" t="n"/>
      <c r="H396" s="12" t="n"/>
      <c r="I396" s="19" t="n"/>
      <c r="J396" s="19" t="n"/>
      <c r="K396" s="19" t="n"/>
      <c r="L396" s="20" t="n"/>
      <c r="M396" s="20" t="n"/>
      <c r="N396" s="22">
        <f>IF($E396="","",ROUND(N($L396)-N($M396),2))</f>
        <v/>
      </c>
      <c r="O396" s="21" t="n"/>
      <c r="P396" s="20" t="n"/>
      <c r="Q396" s="12" t="n"/>
      <c r="R396" s="19" t="n"/>
      <c r="S396" s="20" t="n"/>
      <c r="T396" s="20" t="n"/>
      <c r="U396" s="20" t="n"/>
      <c r="V396" s="12" t="n"/>
      <c r="W396" s="12" t="n"/>
      <c r="X396" s="18">
        <f>IF($E396="","",IF(AND($B396&lt;&gt;"",ISNA(MATCH($B396,机构表,0))),"※机构不在【资料】里",IF(AND($D396&lt;&gt;"",ISNA(MATCH($D396,状态表,0))),"※状态不在【资料】里",IF(N($M396)&gt;N($L396),"※已还本金大于典当金额",IF(AND($I396&lt;&gt;"",$J396&lt;&gt;"",$J396&lt;$I396),"※到期日早于当票日期",IF(AND($H396&lt;&gt;"",COUNTIF($H$4:$H$403,$H396)&gt;1),"※当票号在本表里出现了不止一次",IF(AND($L396&lt;&gt;"",$E396=""),"※有金额没写客户","")))))))</f>
        <v/>
      </c>
    </row>
    <row r="397">
      <c r="A397" s="18">
        <f>IF($E397="","",COUNTA($E$4:$E397))</f>
        <v/>
      </c>
      <c r="B397" s="12" t="n"/>
      <c r="C397" s="12" t="n"/>
      <c r="D397" s="12" t="n"/>
      <c r="E397" s="12" t="n"/>
      <c r="F397" s="12" t="n"/>
      <c r="G397" s="12" t="n"/>
      <c r="H397" s="12" t="n"/>
      <c r="I397" s="19" t="n"/>
      <c r="J397" s="19" t="n"/>
      <c r="K397" s="19" t="n"/>
      <c r="L397" s="20" t="n"/>
      <c r="M397" s="20" t="n"/>
      <c r="N397" s="22">
        <f>IF($E397="","",ROUND(N($L397)-N($M397),2))</f>
        <v/>
      </c>
      <c r="O397" s="21" t="n"/>
      <c r="P397" s="20" t="n"/>
      <c r="Q397" s="12" t="n"/>
      <c r="R397" s="19" t="n"/>
      <c r="S397" s="20" t="n"/>
      <c r="T397" s="20" t="n"/>
      <c r="U397" s="20" t="n"/>
      <c r="V397" s="12" t="n"/>
      <c r="W397" s="12" t="n"/>
      <c r="X397" s="18">
        <f>IF($E397="","",IF(AND($B397&lt;&gt;"",ISNA(MATCH($B397,机构表,0))),"※机构不在【资料】里",IF(AND($D397&lt;&gt;"",ISNA(MATCH($D397,状态表,0))),"※状态不在【资料】里",IF(N($M397)&gt;N($L397),"※已还本金大于典当金额",IF(AND($I397&lt;&gt;"",$J397&lt;&gt;"",$J397&lt;$I397),"※到期日早于当票日期",IF(AND($H397&lt;&gt;"",COUNTIF($H$4:$H$403,$H397)&gt;1),"※当票号在本表里出现了不止一次",IF(AND($L397&lt;&gt;"",$E397=""),"※有金额没写客户","")))))))</f>
        <v/>
      </c>
    </row>
    <row r="398">
      <c r="A398" s="18">
        <f>IF($E398="","",COUNTA($E$4:$E398))</f>
        <v/>
      </c>
      <c r="B398" s="12" t="n"/>
      <c r="C398" s="12" t="n"/>
      <c r="D398" s="12" t="n"/>
      <c r="E398" s="12" t="n"/>
      <c r="F398" s="12" t="n"/>
      <c r="G398" s="12" t="n"/>
      <c r="H398" s="12" t="n"/>
      <c r="I398" s="19" t="n"/>
      <c r="J398" s="19" t="n"/>
      <c r="K398" s="19" t="n"/>
      <c r="L398" s="20" t="n"/>
      <c r="M398" s="20" t="n"/>
      <c r="N398" s="22">
        <f>IF($E398="","",ROUND(N($L398)-N($M398),2))</f>
        <v/>
      </c>
      <c r="O398" s="21" t="n"/>
      <c r="P398" s="20" t="n"/>
      <c r="Q398" s="12" t="n"/>
      <c r="R398" s="19" t="n"/>
      <c r="S398" s="20" t="n"/>
      <c r="T398" s="20" t="n"/>
      <c r="U398" s="20" t="n"/>
      <c r="V398" s="12" t="n"/>
      <c r="W398" s="12" t="n"/>
      <c r="X398" s="18">
        <f>IF($E398="","",IF(AND($B398&lt;&gt;"",ISNA(MATCH($B398,机构表,0))),"※机构不在【资料】里",IF(AND($D398&lt;&gt;"",ISNA(MATCH($D398,状态表,0))),"※状态不在【资料】里",IF(N($M398)&gt;N($L398),"※已还本金大于典当金额",IF(AND($I398&lt;&gt;"",$J398&lt;&gt;"",$J398&lt;$I398),"※到期日早于当票日期",IF(AND($H398&lt;&gt;"",COUNTIF($H$4:$H$403,$H398)&gt;1),"※当票号在本表里出现了不止一次",IF(AND($L398&lt;&gt;"",$E398=""),"※有金额没写客户","")))))))</f>
        <v/>
      </c>
    </row>
    <row r="399">
      <c r="A399" s="18">
        <f>IF($E399="","",COUNTA($E$4:$E399))</f>
        <v/>
      </c>
      <c r="B399" s="12" t="n"/>
      <c r="C399" s="12" t="n"/>
      <c r="D399" s="12" t="n"/>
      <c r="E399" s="12" t="n"/>
      <c r="F399" s="12" t="n"/>
      <c r="G399" s="12" t="n"/>
      <c r="H399" s="12" t="n"/>
      <c r="I399" s="19" t="n"/>
      <c r="J399" s="19" t="n"/>
      <c r="K399" s="19" t="n"/>
      <c r="L399" s="20" t="n"/>
      <c r="M399" s="20" t="n"/>
      <c r="N399" s="22">
        <f>IF($E399="","",ROUND(N($L399)-N($M399),2))</f>
        <v/>
      </c>
      <c r="O399" s="21" t="n"/>
      <c r="P399" s="20" t="n"/>
      <c r="Q399" s="12" t="n"/>
      <c r="R399" s="19" t="n"/>
      <c r="S399" s="20" t="n"/>
      <c r="T399" s="20" t="n"/>
      <c r="U399" s="20" t="n"/>
      <c r="V399" s="12" t="n"/>
      <c r="W399" s="12" t="n"/>
      <c r="X399" s="18">
        <f>IF($E399="","",IF(AND($B399&lt;&gt;"",ISNA(MATCH($B399,机构表,0))),"※机构不在【资料】里",IF(AND($D399&lt;&gt;"",ISNA(MATCH($D399,状态表,0))),"※状态不在【资料】里",IF(N($M399)&gt;N($L399),"※已还本金大于典当金额",IF(AND($I399&lt;&gt;"",$J399&lt;&gt;"",$J399&lt;$I399),"※到期日早于当票日期",IF(AND($H399&lt;&gt;"",COUNTIF($H$4:$H$403,$H399)&gt;1),"※当票号在本表里出现了不止一次",IF(AND($L399&lt;&gt;"",$E399=""),"※有金额没写客户","")))))))</f>
        <v/>
      </c>
    </row>
    <row r="400">
      <c r="A400" s="18">
        <f>IF($E400="","",COUNTA($E$4:$E400))</f>
        <v/>
      </c>
      <c r="B400" s="12" t="n"/>
      <c r="C400" s="12" t="n"/>
      <c r="D400" s="12" t="n"/>
      <c r="E400" s="12" t="n"/>
      <c r="F400" s="12" t="n"/>
      <c r="G400" s="12" t="n"/>
      <c r="H400" s="12" t="n"/>
      <c r="I400" s="19" t="n"/>
      <c r="J400" s="19" t="n"/>
      <c r="K400" s="19" t="n"/>
      <c r="L400" s="20" t="n"/>
      <c r="M400" s="20" t="n"/>
      <c r="N400" s="22">
        <f>IF($E400="","",ROUND(N($L400)-N($M400),2))</f>
        <v/>
      </c>
      <c r="O400" s="21" t="n"/>
      <c r="P400" s="20" t="n"/>
      <c r="Q400" s="12" t="n"/>
      <c r="R400" s="19" t="n"/>
      <c r="S400" s="20" t="n"/>
      <c r="T400" s="20" t="n"/>
      <c r="U400" s="20" t="n"/>
      <c r="V400" s="12" t="n"/>
      <c r="W400" s="12" t="n"/>
      <c r="X400" s="18">
        <f>IF($E400="","",IF(AND($B400&lt;&gt;"",ISNA(MATCH($B400,机构表,0))),"※机构不在【资料】里",IF(AND($D400&lt;&gt;"",ISNA(MATCH($D400,状态表,0))),"※状态不在【资料】里",IF(N($M400)&gt;N($L400),"※已还本金大于典当金额",IF(AND($I400&lt;&gt;"",$J400&lt;&gt;"",$J400&lt;$I400),"※到期日早于当票日期",IF(AND($H400&lt;&gt;"",COUNTIF($H$4:$H$403,$H400)&gt;1),"※当票号在本表里出现了不止一次",IF(AND($L400&lt;&gt;"",$E400=""),"※有金额没写客户","")))))))</f>
        <v/>
      </c>
    </row>
    <row r="401">
      <c r="A401" s="18">
        <f>IF($E401="","",COUNTA($E$4:$E401))</f>
        <v/>
      </c>
      <c r="B401" s="12" t="n"/>
      <c r="C401" s="12" t="n"/>
      <c r="D401" s="12" t="n"/>
      <c r="E401" s="12" t="n"/>
      <c r="F401" s="12" t="n"/>
      <c r="G401" s="12" t="n"/>
      <c r="H401" s="12" t="n"/>
      <c r="I401" s="19" t="n"/>
      <c r="J401" s="19" t="n"/>
      <c r="K401" s="19" t="n"/>
      <c r="L401" s="20" t="n"/>
      <c r="M401" s="20" t="n"/>
      <c r="N401" s="22">
        <f>IF($E401="","",ROUND(N($L401)-N($M401),2))</f>
        <v/>
      </c>
      <c r="O401" s="21" t="n"/>
      <c r="P401" s="20" t="n"/>
      <c r="Q401" s="12" t="n"/>
      <c r="R401" s="19" t="n"/>
      <c r="S401" s="20" t="n"/>
      <c r="T401" s="20" t="n"/>
      <c r="U401" s="20" t="n"/>
      <c r="V401" s="12" t="n"/>
      <c r="W401" s="12" t="n"/>
      <c r="X401" s="18">
        <f>IF($E401="","",IF(AND($B401&lt;&gt;"",ISNA(MATCH($B401,机构表,0))),"※机构不在【资料】里",IF(AND($D401&lt;&gt;"",ISNA(MATCH($D401,状态表,0))),"※状态不在【资料】里",IF(N($M401)&gt;N($L401),"※已还本金大于典当金额",IF(AND($I401&lt;&gt;"",$J401&lt;&gt;"",$J401&lt;$I401),"※到期日早于当票日期",IF(AND($H401&lt;&gt;"",COUNTIF($H$4:$H$403,$H401)&gt;1),"※当票号在本表里出现了不止一次",IF(AND($L401&lt;&gt;"",$E401=""),"※有金额没写客户","")))))))</f>
        <v/>
      </c>
    </row>
    <row r="402">
      <c r="A402" s="18">
        <f>IF($E402="","",COUNTA($E$4:$E402))</f>
        <v/>
      </c>
      <c r="B402" s="12" t="n"/>
      <c r="C402" s="12" t="n"/>
      <c r="D402" s="12" t="n"/>
      <c r="E402" s="12" t="n"/>
      <c r="F402" s="12" t="n"/>
      <c r="G402" s="12" t="n"/>
      <c r="H402" s="12" t="n"/>
      <c r="I402" s="19" t="n"/>
      <c r="J402" s="19" t="n"/>
      <c r="K402" s="19" t="n"/>
      <c r="L402" s="20" t="n"/>
      <c r="M402" s="20" t="n"/>
      <c r="N402" s="22">
        <f>IF($E402="","",ROUND(N($L402)-N($M402),2))</f>
        <v/>
      </c>
      <c r="O402" s="21" t="n"/>
      <c r="P402" s="20" t="n"/>
      <c r="Q402" s="12" t="n"/>
      <c r="R402" s="19" t="n"/>
      <c r="S402" s="20" t="n"/>
      <c r="T402" s="20" t="n"/>
      <c r="U402" s="20" t="n"/>
      <c r="V402" s="12" t="n"/>
      <c r="W402" s="12" t="n"/>
      <c r="X402" s="18">
        <f>IF($E402="","",IF(AND($B402&lt;&gt;"",ISNA(MATCH($B402,机构表,0))),"※机构不在【资料】里",IF(AND($D402&lt;&gt;"",ISNA(MATCH($D402,状态表,0))),"※状态不在【资料】里",IF(N($M402)&gt;N($L402),"※已还本金大于典当金额",IF(AND($I402&lt;&gt;"",$J402&lt;&gt;"",$J402&lt;$I402),"※到期日早于当票日期",IF(AND($H402&lt;&gt;"",COUNTIF($H$4:$H$403,$H402)&gt;1),"※当票号在本表里出现了不止一次",IF(AND($L402&lt;&gt;"",$E402=""),"※有金额没写客户","")))))))</f>
        <v/>
      </c>
    </row>
    <row r="403">
      <c r="A403" s="18">
        <f>IF($E403="","",COUNTA($E$4:$E403))</f>
        <v/>
      </c>
      <c r="B403" s="12" t="n"/>
      <c r="C403" s="12" t="n"/>
      <c r="D403" s="12" t="n"/>
      <c r="E403" s="12" t="n"/>
      <c r="F403" s="12" t="n"/>
      <c r="G403" s="12" t="n"/>
      <c r="H403" s="12" t="n"/>
      <c r="I403" s="19" t="n"/>
      <c r="J403" s="19" t="n"/>
      <c r="K403" s="19" t="n"/>
      <c r="L403" s="20" t="n"/>
      <c r="M403" s="20" t="n"/>
      <c r="N403" s="22">
        <f>IF($E403="","",ROUND(N($L403)-N($M403),2))</f>
        <v/>
      </c>
      <c r="O403" s="21" t="n"/>
      <c r="P403" s="20" t="n"/>
      <c r="Q403" s="12" t="n"/>
      <c r="R403" s="19" t="n"/>
      <c r="S403" s="20" t="n"/>
      <c r="T403" s="20" t="n"/>
      <c r="U403" s="20" t="n"/>
      <c r="V403" s="12" t="n"/>
      <c r="W403" s="12" t="n"/>
      <c r="X403" s="18">
        <f>IF($E403="","",IF(AND($B403&lt;&gt;"",ISNA(MATCH($B403,机构表,0))),"※机构不在【资料】里",IF(AND($D403&lt;&gt;"",ISNA(MATCH($D403,状态表,0))),"※状态不在【资料】里",IF(N($M403)&gt;N($L403),"※已还本金大于典当金额",IF(AND($I403&lt;&gt;"",$J403&lt;&gt;"",$J403&lt;$I403),"※到期日早于当票日期",IF(AND($H403&lt;&gt;"",COUNTIF($H$4:$H$403,$H403)&gt;1),"※当票号在本表里出现了不止一次",IF(AND($L403&lt;&gt;"",$E403=""),"※有金额没写客户","")))))))</f>
        <v/>
      </c>
    </row>
  </sheetData>
  <autoFilter ref="A3:X403"/>
  <mergeCells count="2">
    <mergeCell ref="A2:X2"/>
    <mergeCell ref="A1:X1"/>
  </mergeCells>
  <conditionalFormatting sqref="X4:X403">
    <cfRule type="expression" priority="1" dxfId="1">
      <formula>LEFT(X4,1)="※"</formula>
    </cfRule>
  </conditionalFormatting>
  <dataValidations count="4">
    <dataValidation sqref="B4:B403" showDropDown="0" showInputMessage="0" showErrorMessage="1" allowBlank="1" errorTitle="不在名单里" error="先去【资料】把它加上，或者选一个已有的。" type="list" errorStyle="stop">
      <formula1>=机构表</formula1>
    </dataValidation>
    <dataValidation sqref="C4:C403" showDropDown="0" showInputMessage="0" showErrorMessage="1" allowBlank="1" errorTitle="不在名单里" error="先去【资料】把它加上，或者选一个已有的。" type="list" errorStyle="warning">
      <formula1>=物品表</formula1>
    </dataValidation>
    <dataValidation sqref="D4:D403" showDropDown="0" showInputMessage="0" showErrorMessage="1" allowBlank="1" errorTitle="不在名单里" error="先去【资料】把它加上，或者选一个已有的。" type="list" errorStyle="warning">
      <formula1>=状态表</formula1>
    </dataValidation>
    <dataValidation sqref="V4:V403" showDropDown="0" showInputMessage="0" showErrorMessage="1" allowBlank="1" errorTitle="不在名单里" error="先去【资料】把它加上，或者选一个已有的。" type="list" errorStyle="warning">
      <formula1>=付息表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6000"/>
    <outlinePr summaryBelow="1" summaryRight="1"/>
    <pageSetUpPr/>
  </sheetPr>
  <dimension ref="A1:AL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3" customWidth="1" min="4" max="4"/>
    <col width="13" customWidth="1" min="5" max="5"/>
    <col width="20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3" customWidth="1" min="13" max="13"/>
    <col width="14" customWidth="1" min="14" max="14"/>
    <col width="10" customWidth="1" min="15" max="15"/>
    <col width="13" customWidth="1" min="16" max="16"/>
    <col width="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26" customWidth="1" min="23" max="23"/>
    <col width="24" customWidth="1" min="24" max="24"/>
    <col width="11" customWidth="1" min="27" max="27"/>
    <col width="14" customWidth="1" min="28" max="28"/>
    <col width="11" customWidth="1" min="29" max="29"/>
    <col width="14" customWidth="1" min="30" max="30"/>
    <col width="11" customWidth="1" min="31" max="31"/>
    <col width="14" customWidth="1" min="32" max="32"/>
    <col width="11" customWidth="1" min="33" max="33"/>
    <col width="14" customWidth="1" min="34" max="34"/>
    <col width="11" customWidth="1" min="35" max="35"/>
    <col width="14" customWidth="1" min="36" max="36"/>
    <col width="11" customWidth="1" min="37" max="37"/>
    <col width="14" customWidth="1" min="38" max="38"/>
  </cols>
  <sheetData>
    <row r="1" ht="30" customHeight="1">
      <c r="A1" s="9" t="inlineStr">
        <is>
          <t>【金辉典当】明细 · 自动从表2拆出来，不用填</t>
        </is>
      </c>
    </row>
    <row r="2" ht="22" customHeight="1">
      <c r="A2" s="24" t="inlineStr">
        <is>
          <t>机构名称</t>
        </is>
      </c>
      <c r="B2" s="25" t="inlineStr">
        <is>
          <t>金辉典当</t>
        </is>
      </c>
      <c r="C2" s="26" t="inlineStr">
        <is>
          <t>← 这格是拆分依据，别改。整张表是一条公式的结果，要改数据去【表2客户典当登记】改，手动在这里打字会把公式顶掉。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  <c r="AA2" s="27" t="inlineStr">
        <is>
          <t>机构</t>
        </is>
      </c>
      <c r="AB2" s="28">
        <f>"金辉典当"</f>
        <v/>
      </c>
      <c r="AC2" s="27" t="inlineStr">
        <is>
          <t>笔数</t>
        </is>
      </c>
      <c r="AD2" s="16">
        <f>COUNTIF(表2客户典当登记!$B$4:$B$403,"金辉典当")</f>
        <v/>
      </c>
      <c r="AE2" s="27" t="inlineStr">
        <is>
          <t>典当金额</t>
        </is>
      </c>
      <c r="AF2" s="29">
        <f>ROUND(SUMIF(表2客户典当登记!$B$4:$B$403,"金辉典当",表2客户典当登记!$L$4:$L$403),2)</f>
        <v/>
      </c>
      <c r="AG2" s="27" t="inlineStr">
        <is>
          <t>已还本金</t>
        </is>
      </c>
      <c r="AH2" s="29">
        <f>ROUND(SUMIF(表2客户典当登记!$B$4:$B$403,"金辉典当",表2客户典当登记!$M$4:$M$403),2)</f>
        <v/>
      </c>
      <c r="AI2" s="27" t="inlineStr">
        <is>
          <t>当前在当</t>
        </is>
      </c>
      <c r="AJ2" s="29">
        <f>ROUND(SUMIF(表2客户典当登记!$B$4:$B$403,"金辉典当",表2客户典当登记!$N$4:$N$403),2)</f>
        <v/>
      </c>
      <c r="AK2" s="27" t="inlineStr">
        <is>
          <t>应收利息</t>
        </is>
      </c>
      <c r="AL2" s="29">
        <f>ROUND(SUMIF(表2客户典当登记!$B$4:$B$403,"金辉典当",表2客户典当登记!$P$4:$P$403),2)</f>
        <v/>
      </c>
    </row>
    <row r="3" ht="32" customHeight="1">
      <c r="A3" s="24" t="inlineStr">
        <is>
          <t>序号</t>
        </is>
      </c>
      <c r="B3" s="24" t="inlineStr">
        <is>
          <t>抵押机构 ★</t>
        </is>
      </c>
      <c r="C3" s="24" t="inlineStr">
        <is>
          <t>抵押物品 ★</t>
        </is>
      </c>
      <c r="D3" s="24" t="inlineStr">
        <is>
          <t>状态 ★</t>
        </is>
      </c>
      <c r="E3" s="24" t="inlineStr">
        <is>
          <t>客户姓名 ★</t>
        </is>
      </c>
      <c r="F3" s="24" t="inlineStr">
        <is>
          <t>身份证号</t>
        </is>
      </c>
      <c r="G3" s="24" t="inlineStr">
        <is>
          <t>客户电话</t>
        </is>
      </c>
      <c r="H3" s="24" t="inlineStr">
        <is>
          <t>当票号</t>
        </is>
      </c>
      <c r="I3" s="24" t="inlineStr">
        <is>
          <t>当票日期</t>
        </is>
      </c>
      <c r="J3" s="24" t="inlineStr">
        <is>
          <t>当票到期日</t>
        </is>
      </c>
      <c r="K3" s="24" t="inlineStr">
        <is>
          <t>出款日期</t>
        </is>
      </c>
      <c r="L3" s="24" t="inlineStr">
        <is>
          <t>典当金额 ★</t>
        </is>
      </c>
      <c r="M3" s="24" t="inlineStr">
        <is>
          <t>已还本金</t>
        </is>
      </c>
      <c r="N3" s="24" t="inlineStr">
        <is>
          <t>当前在当</t>
        </is>
      </c>
      <c r="O3" s="24" t="inlineStr">
        <is>
          <t>典当系统费率</t>
        </is>
      </c>
      <c r="P3" s="24" t="inlineStr">
        <is>
          <t>应收利息</t>
        </is>
      </c>
      <c r="Q3" s="24" t="inlineStr">
        <is>
          <t>利息日</t>
        </is>
      </c>
      <c r="R3" s="24" t="inlineStr">
        <is>
          <t>应付利息日</t>
        </is>
      </c>
      <c r="S3" s="24" t="inlineStr">
        <is>
          <t>对公</t>
        </is>
      </c>
      <c r="T3" s="24" t="inlineStr">
        <is>
          <t>违约金</t>
        </is>
      </c>
      <c r="U3" s="24" t="inlineStr">
        <is>
          <t>开票金额</t>
        </is>
      </c>
      <c r="V3" s="24" t="inlineStr">
        <is>
          <t>付息方式</t>
        </is>
      </c>
      <c r="W3" s="24" t="inlineStr">
        <is>
          <t>详情/备注</t>
        </is>
      </c>
      <c r="X3" s="24" t="inlineStr">
        <is>
          <t>核对</t>
        </is>
      </c>
    </row>
    <row r="4">
      <c r="A4" s="18" cm="1">
        <f t="array" ref="A4:X203">_xlfn._xlws.FILTER(IF(表2客户典当登记!$A$4:$X$403="","",表2客户典当登记!$A$4:$X$403),表2客户典当登记!$B$4:$B$403=$B$2,"这个机构还没有记录")</f>
        <v/>
      </c>
      <c r="B4" s="18" t="n"/>
      <c r="C4" s="18" t="n"/>
      <c r="D4" s="18" t="n"/>
      <c r="E4" s="18" t="n"/>
      <c r="F4" s="18" t="n"/>
      <c r="G4" s="18" t="n"/>
      <c r="H4" s="18" t="n"/>
      <c r="I4" s="30" t="n"/>
      <c r="J4" s="30" t="n"/>
      <c r="K4" s="30" t="n"/>
      <c r="L4" s="22" t="n"/>
      <c r="M4" s="22" t="n"/>
      <c r="N4" s="22" t="n"/>
      <c r="O4" s="31" t="n"/>
      <c r="P4" s="22" t="n"/>
      <c r="Q4" s="18" t="n"/>
      <c r="R4" s="30" t="n"/>
      <c r="S4" s="22" t="n"/>
      <c r="T4" s="22" t="n"/>
      <c r="U4" s="22" t="n"/>
      <c r="V4" s="18" t="n"/>
      <c r="W4" s="18" t="n"/>
      <c r="X4" s="18" t="n"/>
    </row>
    <row r="5">
      <c r="A5" s="18" t="n"/>
      <c r="B5" s="18" t="n"/>
      <c r="C5" s="18" t="n"/>
      <c r="D5" s="18" t="n"/>
      <c r="E5" s="18" t="n"/>
      <c r="F5" s="18" t="n"/>
      <c r="G5" s="18" t="n"/>
      <c r="H5" s="18" t="n"/>
      <c r="I5" s="30" t="n"/>
      <c r="J5" s="30" t="n"/>
      <c r="K5" s="30" t="n"/>
      <c r="L5" s="22" t="n"/>
      <c r="M5" s="22" t="n"/>
      <c r="N5" s="22" t="n"/>
      <c r="O5" s="31" t="n"/>
      <c r="P5" s="22" t="n"/>
      <c r="Q5" s="18" t="n"/>
      <c r="R5" s="30" t="n"/>
      <c r="S5" s="22" t="n"/>
      <c r="T5" s="22" t="n"/>
      <c r="U5" s="22" t="n"/>
      <c r="V5" s="18" t="n"/>
      <c r="W5" s="18" t="n"/>
      <c r="X5" s="18" t="n"/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  <c r="I6" s="30" t="n"/>
      <c r="J6" s="30" t="n"/>
      <c r="K6" s="30" t="n"/>
      <c r="L6" s="22" t="n"/>
      <c r="M6" s="22" t="n"/>
      <c r="N6" s="22" t="n"/>
      <c r="O6" s="31" t="n"/>
      <c r="P6" s="22" t="n"/>
      <c r="Q6" s="18" t="n"/>
      <c r="R6" s="30" t="n"/>
      <c r="S6" s="22" t="n"/>
      <c r="T6" s="22" t="n"/>
      <c r="U6" s="22" t="n"/>
      <c r="V6" s="18" t="n"/>
      <c r="W6" s="18" t="n"/>
      <c r="X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30" t="n"/>
      <c r="J7" s="30" t="n"/>
      <c r="K7" s="30" t="n"/>
      <c r="L7" s="22" t="n"/>
      <c r="M7" s="22" t="n"/>
      <c r="N7" s="22" t="n"/>
      <c r="O7" s="31" t="n"/>
      <c r="P7" s="22" t="n"/>
      <c r="Q7" s="18" t="n"/>
      <c r="R7" s="30" t="n"/>
      <c r="S7" s="22" t="n"/>
      <c r="T7" s="22" t="n"/>
      <c r="U7" s="22" t="n"/>
      <c r="V7" s="18" t="n"/>
      <c r="W7" s="18" t="n"/>
      <c r="X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30" t="n"/>
      <c r="J8" s="30" t="n"/>
      <c r="K8" s="30" t="n"/>
      <c r="L8" s="22" t="n"/>
      <c r="M8" s="22" t="n"/>
      <c r="N8" s="22" t="n"/>
      <c r="O8" s="31" t="n"/>
      <c r="P8" s="22" t="n"/>
      <c r="Q8" s="18" t="n"/>
      <c r="R8" s="30" t="n"/>
      <c r="S8" s="22" t="n"/>
      <c r="T8" s="22" t="n"/>
      <c r="U8" s="22" t="n"/>
      <c r="V8" s="18" t="n"/>
      <c r="W8" s="18" t="n"/>
      <c r="X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30" t="n"/>
      <c r="J9" s="30" t="n"/>
      <c r="K9" s="30" t="n"/>
      <c r="L9" s="22" t="n"/>
      <c r="M9" s="22" t="n"/>
      <c r="N9" s="22" t="n"/>
      <c r="O9" s="31" t="n"/>
      <c r="P9" s="22" t="n"/>
      <c r="Q9" s="18" t="n"/>
      <c r="R9" s="30" t="n"/>
      <c r="S9" s="22" t="n"/>
      <c r="T9" s="22" t="n"/>
      <c r="U9" s="22" t="n"/>
      <c r="V9" s="18" t="n"/>
      <c r="W9" s="18" t="n"/>
      <c r="X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30" t="n"/>
      <c r="J10" s="30" t="n"/>
      <c r="K10" s="30" t="n"/>
      <c r="L10" s="22" t="n"/>
      <c r="M10" s="22" t="n"/>
      <c r="N10" s="22" t="n"/>
      <c r="O10" s="31" t="n"/>
      <c r="P10" s="22" t="n"/>
      <c r="Q10" s="18" t="n"/>
      <c r="R10" s="30" t="n"/>
      <c r="S10" s="22" t="n"/>
      <c r="T10" s="22" t="n"/>
      <c r="U10" s="22" t="n"/>
      <c r="V10" s="18" t="n"/>
      <c r="W10" s="18" t="n"/>
      <c r="X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30" t="n"/>
      <c r="J11" s="30" t="n"/>
      <c r="K11" s="30" t="n"/>
      <c r="L11" s="22" t="n"/>
      <c r="M11" s="22" t="n"/>
      <c r="N11" s="22" t="n"/>
      <c r="O11" s="31" t="n"/>
      <c r="P11" s="22" t="n"/>
      <c r="Q11" s="18" t="n"/>
      <c r="R11" s="30" t="n"/>
      <c r="S11" s="22" t="n"/>
      <c r="T11" s="22" t="n"/>
      <c r="U11" s="22" t="n"/>
      <c r="V11" s="18" t="n"/>
      <c r="W11" s="18" t="n"/>
      <c r="X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30" t="n"/>
      <c r="J12" s="30" t="n"/>
      <c r="K12" s="30" t="n"/>
      <c r="L12" s="22" t="n"/>
      <c r="M12" s="22" t="n"/>
      <c r="N12" s="22" t="n"/>
      <c r="O12" s="31" t="n"/>
      <c r="P12" s="22" t="n"/>
      <c r="Q12" s="18" t="n"/>
      <c r="R12" s="30" t="n"/>
      <c r="S12" s="22" t="n"/>
      <c r="T12" s="22" t="n"/>
      <c r="U12" s="22" t="n"/>
      <c r="V12" s="18" t="n"/>
      <c r="W12" s="18" t="n"/>
      <c r="X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30" t="n"/>
      <c r="J13" s="30" t="n"/>
      <c r="K13" s="30" t="n"/>
      <c r="L13" s="22" t="n"/>
      <c r="M13" s="22" t="n"/>
      <c r="N13" s="22" t="n"/>
      <c r="O13" s="31" t="n"/>
      <c r="P13" s="22" t="n"/>
      <c r="Q13" s="18" t="n"/>
      <c r="R13" s="30" t="n"/>
      <c r="S13" s="22" t="n"/>
      <c r="T13" s="22" t="n"/>
      <c r="U13" s="22" t="n"/>
      <c r="V13" s="18" t="n"/>
      <c r="W13" s="18" t="n"/>
      <c r="X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30" t="n"/>
      <c r="J14" s="30" t="n"/>
      <c r="K14" s="30" t="n"/>
      <c r="L14" s="22" t="n"/>
      <c r="M14" s="22" t="n"/>
      <c r="N14" s="22" t="n"/>
      <c r="O14" s="31" t="n"/>
      <c r="P14" s="22" t="n"/>
      <c r="Q14" s="18" t="n"/>
      <c r="R14" s="30" t="n"/>
      <c r="S14" s="22" t="n"/>
      <c r="T14" s="22" t="n"/>
      <c r="U14" s="22" t="n"/>
      <c r="V14" s="18" t="n"/>
      <c r="W14" s="18" t="n"/>
      <c r="X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30" t="n"/>
      <c r="J15" s="30" t="n"/>
      <c r="K15" s="30" t="n"/>
      <c r="L15" s="22" t="n"/>
      <c r="M15" s="22" t="n"/>
      <c r="N15" s="22" t="n"/>
      <c r="O15" s="31" t="n"/>
      <c r="P15" s="22" t="n"/>
      <c r="Q15" s="18" t="n"/>
      <c r="R15" s="30" t="n"/>
      <c r="S15" s="22" t="n"/>
      <c r="T15" s="22" t="n"/>
      <c r="U15" s="22" t="n"/>
      <c r="V15" s="18" t="n"/>
      <c r="W15" s="18" t="n"/>
      <c r="X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30" t="n"/>
      <c r="J16" s="30" t="n"/>
      <c r="K16" s="30" t="n"/>
      <c r="L16" s="22" t="n"/>
      <c r="M16" s="22" t="n"/>
      <c r="N16" s="22" t="n"/>
      <c r="O16" s="31" t="n"/>
      <c r="P16" s="22" t="n"/>
      <c r="Q16" s="18" t="n"/>
      <c r="R16" s="30" t="n"/>
      <c r="S16" s="22" t="n"/>
      <c r="T16" s="22" t="n"/>
      <c r="U16" s="22" t="n"/>
      <c r="V16" s="18" t="n"/>
      <c r="W16" s="18" t="n"/>
      <c r="X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30" t="n"/>
      <c r="J17" s="30" t="n"/>
      <c r="K17" s="30" t="n"/>
      <c r="L17" s="22" t="n"/>
      <c r="M17" s="22" t="n"/>
      <c r="N17" s="22" t="n"/>
      <c r="O17" s="31" t="n"/>
      <c r="P17" s="22" t="n"/>
      <c r="Q17" s="18" t="n"/>
      <c r="R17" s="30" t="n"/>
      <c r="S17" s="22" t="n"/>
      <c r="T17" s="22" t="n"/>
      <c r="U17" s="22" t="n"/>
      <c r="V17" s="18" t="n"/>
      <c r="W17" s="18" t="n"/>
      <c r="X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30" t="n"/>
      <c r="J18" s="30" t="n"/>
      <c r="K18" s="30" t="n"/>
      <c r="L18" s="22" t="n"/>
      <c r="M18" s="22" t="n"/>
      <c r="N18" s="22" t="n"/>
      <c r="O18" s="31" t="n"/>
      <c r="P18" s="22" t="n"/>
      <c r="Q18" s="18" t="n"/>
      <c r="R18" s="30" t="n"/>
      <c r="S18" s="22" t="n"/>
      <c r="T18" s="22" t="n"/>
      <c r="U18" s="22" t="n"/>
      <c r="V18" s="18" t="n"/>
      <c r="W18" s="18" t="n"/>
      <c r="X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30" t="n"/>
      <c r="J19" s="30" t="n"/>
      <c r="K19" s="30" t="n"/>
      <c r="L19" s="22" t="n"/>
      <c r="M19" s="22" t="n"/>
      <c r="N19" s="22" t="n"/>
      <c r="O19" s="31" t="n"/>
      <c r="P19" s="22" t="n"/>
      <c r="Q19" s="18" t="n"/>
      <c r="R19" s="30" t="n"/>
      <c r="S19" s="22" t="n"/>
      <c r="T19" s="22" t="n"/>
      <c r="U19" s="22" t="n"/>
      <c r="V19" s="18" t="n"/>
      <c r="W19" s="18" t="n"/>
      <c r="X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30" t="n"/>
      <c r="J20" s="30" t="n"/>
      <c r="K20" s="30" t="n"/>
      <c r="L20" s="22" t="n"/>
      <c r="M20" s="22" t="n"/>
      <c r="N20" s="22" t="n"/>
      <c r="O20" s="31" t="n"/>
      <c r="P20" s="22" t="n"/>
      <c r="Q20" s="18" t="n"/>
      <c r="R20" s="30" t="n"/>
      <c r="S20" s="22" t="n"/>
      <c r="T20" s="22" t="n"/>
      <c r="U20" s="22" t="n"/>
      <c r="V20" s="18" t="n"/>
      <c r="W20" s="18" t="n"/>
      <c r="X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30" t="n"/>
      <c r="J21" s="30" t="n"/>
      <c r="K21" s="30" t="n"/>
      <c r="L21" s="22" t="n"/>
      <c r="M21" s="22" t="n"/>
      <c r="N21" s="22" t="n"/>
      <c r="O21" s="31" t="n"/>
      <c r="P21" s="22" t="n"/>
      <c r="Q21" s="18" t="n"/>
      <c r="R21" s="30" t="n"/>
      <c r="S21" s="22" t="n"/>
      <c r="T21" s="22" t="n"/>
      <c r="U21" s="22" t="n"/>
      <c r="V21" s="18" t="n"/>
      <c r="W21" s="18" t="n"/>
      <c r="X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30" t="n"/>
      <c r="J22" s="30" t="n"/>
      <c r="K22" s="30" t="n"/>
      <c r="L22" s="22" t="n"/>
      <c r="M22" s="22" t="n"/>
      <c r="N22" s="22" t="n"/>
      <c r="O22" s="31" t="n"/>
      <c r="P22" s="22" t="n"/>
      <c r="Q22" s="18" t="n"/>
      <c r="R22" s="30" t="n"/>
      <c r="S22" s="22" t="n"/>
      <c r="T22" s="22" t="n"/>
      <c r="U22" s="22" t="n"/>
      <c r="V22" s="18" t="n"/>
      <c r="W22" s="18" t="n"/>
      <c r="X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30" t="n"/>
      <c r="J23" s="30" t="n"/>
      <c r="K23" s="30" t="n"/>
      <c r="L23" s="22" t="n"/>
      <c r="M23" s="22" t="n"/>
      <c r="N23" s="22" t="n"/>
      <c r="O23" s="31" t="n"/>
      <c r="P23" s="22" t="n"/>
      <c r="Q23" s="18" t="n"/>
      <c r="R23" s="30" t="n"/>
      <c r="S23" s="22" t="n"/>
      <c r="T23" s="22" t="n"/>
      <c r="U23" s="22" t="n"/>
      <c r="V23" s="18" t="n"/>
      <c r="W23" s="18" t="n"/>
      <c r="X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30" t="n"/>
      <c r="J24" s="30" t="n"/>
      <c r="K24" s="30" t="n"/>
      <c r="L24" s="22" t="n"/>
      <c r="M24" s="22" t="n"/>
      <c r="N24" s="22" t="n"/>
      <c r="O24" s="31" t="n"/>
      <c r="P24" s="22" t="n"/>
      <c r="Q24" s="18" t="n"/>
      <c r="R24" s="30" t="n"/>
      <c r="S24" s="22" t="n"/>
      <c r="T24" s="22" t="n"/>
      <c r="U24" s="22" t="n"/>
      <c r="V24" s="18" t="n"/>
      <c r="W24" s="18" t="n"/>
      <c r="X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30" t="n"/>
      <c r="J25" s="30" t="n"/>
      <c r="K25" s="30" t="n"/>
      <c r="L25" s="22" t="n"/>
      <c r="M25" s="22" t="n"/>
      <c r="N25" s="22" t="n"/>
      <c r="O25" s="31" t="n"/>
      <c r="P25" s="22" t="n"/>
      <c r="Q25" s="18" t="n"/>
      <c r="R25" s="30" t="n"/>
      <c r="S25" s="22" t="n"/>
      <c r="T25" s="22" t="n"/>
      <c r="U25" s="22" t="n"/>
      <c r="V25" s="18" t="n"/>
      <c r="W25" s="18" t="n"/>
      <c r="X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30" t="n"/>
      <c r="J26" s="30" t="n"/>
      <c r="K26" s="30" t="n"/>
      <c r="L26" s="22" t="n"/>
      <c r="M26" s="22" t="n"/>
      <c r="N26" s="22" t="n"/>
      <c r="O26" s="31" t="n"/>
      <c r="P26" s="22" t="n"/>
      <c r="Q26" s="18" t="n"/>
      <c r="R26" s="30" t="n"/>
      <c r="S26" s="22" t="n"/>
      <c r="T26" s="22" t="n"/>
      <c r="U26" s="22" t="n"/>
      <c r="V26" s="18" t="n"/>
      <c r="W26" s="18" t="n"/>
      <c r="X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30" t="n"/>
      <c r="J27" s="30" t="n"/>
      <c r="K27" s="30" t="n"/>
      <c r="L27" s="22" t="n"/>
      <c r="M27" s="22" t="n"/>
      <c r="N27" s="22" t="n"/>
      <c r="O27" s="31" t="n"/>
      <c r="P27" s="22" t="n"/>
      <c r="Q27" s="18" t="n"/>
      <c r="R27" s="30" t="n"/>
      <c r="S27" s="22" t="n"/>
      <c r="T27" s="22" t="n"/>
      <c r="U27" s="22" t="n"/>
      <c r="V27" s="18" t="n"/>
      <c r="W27" s="18" t="n"/>
      <c r="X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30" t="n"/>
      <c r="J28" s="30" t="n"/>
      <c r="K28" s="30" t="n"/>
      <c r="L28" s="22" t="n"/>
      <c r="M28" s="22" t="n"/>
      <c r="N28" s="22" t="n"/>
      <c r="O28" s="31" t="n"/>
      <c r="P28" s="22" t="n"/>
      <c r="Q28" s="18" t="n"/>
      <c r="R28" s="30" t="n"/>
      <c r="S28" s="22" t="n"/>
      <c r="T28" s="22" t="n"/>
      <c r="U28" s="22" t="n"/>
      <c r="V28" s="18" t="n"/>
      <c r="W28" s="18" t="n"/>
      <c r="X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30" t="n"/>
      <c r="J29" s="30" t="n"/>
      <c r="K29" s="30" t="n"/>
      <c r="L29" s="22" t="n"/>
      <c r="M29" s="22" t="n"/>
      <c r="N29" s="22" t="n"/>
      <c r="O29" s="31" t="n"/>
      <c r="P29" s="22" t="n"/>
      <c r="Q29" s="18" t="n"/>
      <c r="R29" s="30" t="n"/>
      <c r="S29" s="22" t="n"/>
      <c r="T29" s="22" t="n"/>
      <c r="U29" s="22" t="n"/>
      <c r="V29" s="18" t="n"/>
      <c r="W29" s="18" t="n"/>
      <c r="X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30" t="n"/>
      <c r="J30" s="30" t="n"/>
      <c r="K30" s="30" t="n"/>
      <c r="L30" s="22" t="n"/>
      <c r="M30" s="22" t="n"/>
      <c r="N30" s="22" t="n"/>
      <c r="O30" s="31" t="n"/>
      <c r="P30" s="22" t="n"/>
      <c r="Q30" s="18" t="n"/>
      <c r="R30" s="30" t="n"/>
      <c r="S30" s="22" t="n"/>
      <c r="T30" s="22" t="n"/>
      <c r="U30" s="22" t="n"/>
      <c r="V30" s="18" t="n"/>
      <c r="W30" s="18" t="n"/>
      <c r="X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30" t="n"/>
      <c r="J31" s="30" t="n"/>
      <c r="K31" s="30" t="n"/>
      <c r="L31" s="22" t="n"/>
      <c r="M31" s="22" t="n"/>
      <c r="N31" s="22" t="n"/>
      <c r="O31" s="31" t="n"/>
      <c r="P31" s="22" t="n"/>
      <c r="Q31" s="18" t="n"/>
      <c r="R31" s="30" t="n"/>
      <c r="S31" s="22" t="n"/>
      <c r="T31" s="22" t="n"/>
      <c r="U31" s="22" t="n"/>
      <c r="V31" s="18" t="n"/>
      <c r="W31" s="18" t="n"/>
      <c r="X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30" t="n"/>
      <c r="J32" s="30" t="n"/>
      <c r="K32" s="30" t="n"/>
      <c r="L32" s="22" t="n"/>
      <c r="M32" s="22" t="n"/>
      <c r="N32" s="22" t="n"/>
      <c r="O32" s="31" t="n"/>
      <c r="P32" s="22" t="n"/>
      <c r="Q32" s="18" t="n"/>
      <c r="R32" s="30" t="n"/>
      <c r="S32" s="22" t="n"/>
      <c r="T32" s="22" t="n"/>
      <c r="U32" s="22" t="n"/>
      <c r="V32" s="18" t="n"/>
      <c r="W32" s="18" t="n"/>
      <c r="X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30" t="n"/>
      <c r="J33" s="30" t="n"/>
      <c r="K33" s="30" t="n"/>
      <c r="L33" s="22" t="n"/>
      <c r="M33" s="22" t="n"/>
      <c r="N33" s="22" t="n"/>
      <c r="O33" s="31" t="n"/>
      <c r="P33" s="22" t="n"/>
      <c r="Q33" s="18" t="n"/>
      <c r="R33" s="30" t="n"/>
      <c r="S33" s="22" t="n"/>
      <c r="T33" s="22" t="n"/>
      <c r="U33" s="22" t="n"/>
      <c r="V33" s="18" t="n"/>
      <c r="W33" s="18" t="n"/>
      <c r="X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30" t="n"/>
      <c r="J34" s="30" t="n"/>
      <c r="K34" s="30" t="n"/>
      <c r="L34" s="22" t="n"/>
      <c r="M34" s="22" t="n"/>
      <c r="N34" s="22" t="n"/>
      <c r="O34" s="31" t="n"/>
      <c r="P34" s="22" t="n"/>
      <c r="Q34" s="18" t="n"/>
      <c r="R34" s="30" t="n"/>
      <c r="S34" s="22" t="n"/>
      <c r="T34" s="22" t="n"/>
      <c r="U34" s="22" t="n"/>
      <c r="V34" s="18" t="n"/>
      <c r="W34" s="18" t="n"/>
      <c r="X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30" t="n"/>
      <c r="J35" s="30" t="n"/>
      <c r="K35" s="30" t="n"/>
      <c r="L35" s="22" t="n"/>
      <c r="M35" s="22" t="n"/>
      <c r="N35" s="22" t="n"/>
      <c r="O35" s="31" t="n"/>
      <c r="P35" s="22" t="n"/>
      <c r="Q35" s="18" t="n"/>
      <c r="R35" s="30" t="n"/>
      <c r="S35" s="22" t="n"/>
      <c r="T35" s="22" t="n"/>
      <c r="U35" s="22" t="n"/>
      <c r="V35" s="18" t="n"/>
      <c r="W35" s="18" t="n"/>
      <c r="X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30" t="n"/>
      <c r="J36" s="30" t="n"/>
      <c r="K36" s="30" t="n"/>
      <c r="L36" s="22" t="n"/>
      <c r="M36" s="22" t="n"/>
      <c r="N36" s="22" t="n"/>
      <c r="O36" s="31" t="n"/>
      <c r="P36" s="22" t="n"/>
      <c r="Q36" s="18" t="n"/>
      <c r="R36" s="30" t="n"/>
      <c r="S36" s="22" t="n"/>
      <c r="T36" s="22" t="n"/>
      <c r="U36" s="22" t="n"/>
      <c r="V36" s="18" t="n"/>
      <c r="W36" s="18" t="n"/>
      <c r="X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30" t="n"/>
      <c r="J37" s="30" t="n"/>
      <c r="K37" s="30" t="n"/>
      <c r="L37" s="22" t="n"/>
      <c r="M37" s="22" t="n"/>
      <c r="N37" s="22" t="n"/>
      <c r="O37" s="31" t="n"/>
      <c r="P37" s="22" t="n"/>
      <c r="Q37" s="18" t="n"/>
      <c r="R37" s="30" t="n"/>
      <c r="S37" s="22" t="n"/>
      <c r="T37" s="22" t="n"/>
      <c r="U37" s="22" t="n"/>
      <c r="V37" s="18" t="n"/>
      <c r="W37" s="18" t="n"/>
      <c r="X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30" t="n"/>
      <c r="J38" s="30" t="n"/>
      <c r="K38" s="30" t="n"/>
      <c r="L38" s="22" t="n"/>
      <c r="M38" s="22" t="n"/>
      <c r="N38" s="22" t="n"/>
      <c r="O38" s="31" t="n"/>
      <c r="P38" s="22" t="n"/>
      <c r="Q38" s="18" t="n"/>
      <c r="R38" s="30" t="n"/>
      <c r="S38" s="22" t="n"/>
      <c r="T38" s="22" t="n"/>
      <c r="U38" s="22" t="n"/>
      <c r="V38" s="18" t="n"/>
      <c r="W38" s="18" t="n"/>
      <c r="X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30" t="n"/>
      <c r="J39" s="30" t="n"/>
      <c r="K39" s="30" t="n"/>
      <c r="L39" s="22" t="n"/>
      <c r="M39" s="22" t="n"/>
      <c r="N39" s="22" t="n"/>
      <c r="O39" s="31" t="n"/>
      <c r="P39" s="22" t="n"/>
      <c r="Q39" s="18" t="n"/>
      <c r="R39" s="30" t="n"/>
      <c r="S39" s="22" t="n"/>
      <c r="T39" s="22" t="n"/>
      <c r="U39" s="22" t="n"/>
      <c r="V39" s="18" t="n"/>
      <c r="W39" s="18" t="n"/>
      <c r="X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30" t="n"/>
      <c r="J40" s="30" t="n"/>
      <c r="K40" s="30" t="n"/>
      <c r="L40" s="22" t="n"/>
      <c r="M40" s="22" t="n"/>
      <c r="N40" s="22" t="n"/>
      <c r="O40" s="31" t="n"/>
      <c r="P40" s="22" t="n"/>
      <c r="Q40" s="18" t="n"/>
      <c r="R40" s="30" t="n"/>
      <c r="S40" s="22" t="n"/>
      <c r="T40" s="22" t="n"/>
      <c r="U40" s="22" t="n"/>
      <c r="V40" s="18" t="n"/>
      <c r="W40" s="18" t="n"/>
      <c r="X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30" t="n"/>
      <c r="J41" s="30" t="n"/>
      <c r="K41" s="30" t="n"/>
      <c r="L41" s="22" t="n"/>
      <c r="M41" s="22" t="n"/>
      <c r="N41" s="22" t="n"/>
      <c r="O41" s="31" t="n"/>
      <c r="P41" s="22" t="n"/>
      <c r="Q41" s="18" t="n"/>
      <c r="R41" s="30" t="n"/>
      <c r="S41" s="22" t="n"/>
      <c r="T41" s="22" t="n"/>
      <c r="U41" s="22" t="n"/>
      <c r="V41" s="18" t="n"/>
      <c r="W41" s="18" t="n"/>
      <c r="X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30" t="n"/>
      <c r="J42" s="30" t="n"/>
      <c r="K42" s="30" t="n"/>
      <c r="L42" s="22" t="n"/>
      <c r="M42" s="22" t="n"/>
      <c r="N42" s="22" t="n"/>
      <c r="O42" s="31" t="n"/>
      <c r="P42" s="22" t="n"/>
      <c r="Q42" s="18" t="n"/>
      <c r="R42" s="30" t="n"/>
      <c r="S42" s="22" t="n"/>
      <c r="T42" s="22" t="n"/>
      <c r="U42" s="22" t="n"/>
      <c r="V42" s="18" t="n"/>
      <c r="W42" s="18" t="n"/>
      <c r="X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30" t="n"/>
      <c r="J43" s="30" t="n"/>
      <c r="K43" s="30" t="n"/>
      <c r="L43" s="22" t="n"/>
      <c r="M43" s="22" t="n"/>
      <c r="N43" s="22" t="n"/>
      <c r="O43" s="31" t="n"/>
      <c r="P43" s="22" t="n"/>
      <c r="Q43" s="18" t="n"/>
      <c r="R43" s="30" t="n"/>
      <c r="S43" s="22" t="n"/>
      <c r="T43" s="22" t="n"/>
      <c r="U43" s="22" t="n"/>
      <c r="V43" s="18" t="n"/>
      <c r="W43" s="18" t="n"/>
      <c r="X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30" t="n"/>
      <c r="J44" s="30" t="n"/>
      <c r="K44" s="30" t="n"/>
      <c r="L44" s="22" t="n"/>
      <c r="M44" s="22" t="n"/>
      <c r="N44" s="22" t="n"/>
      <c r="O44" s="31" t="n"/>
      <c r="P44" s="22" t="n"/>
      <c r="Q44" s="18" t="n"/>
      <c r="R44" s="30" t="n"/>
      <c r="S44" s="22" t="n"/>
      <c r="T44" s="22" t="n"/>
      <c r="U44" s="22" t="n"/>
      <c r="V44" s="18" t="n"/>
      <c r="W44" s="18" t="n"/>
      <c r="X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30" t="n"/>
      <c r="J45" s="30" t="n"/>
      <c r="K45" s="30" t="n"/>
      <c r="L45" s="22" t="n"/>
      <c r="M45" s="22" t="n"/>
      <c r="N45" s="22" t="n"/>
      <c r="O45" s="31" t="n"/>
      <c r="P45" s="22" t="n"/>
      <c r="Q45" s="18" t="n"/>
      <c r="R45" s="30" t="n"/>
      <c r="S45" s="22" t="n"/>
      <c r="T45" s="22" t="n"/>
      <c r="U45" s="22" t="n"/>
      <c r="V45" s="18" t="n"/>
      <c r="W45" s="18" t="n"/>
      <c r="X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30" t="n"/>
      <c r="J46" s="30" t="n"/>
      <c r="K46" s="30" t="n"/>
      <c r="L46" s="22" t="n"/>
      <c r="M46" s="22" t="n"/>
      <c r="N46" s="22" t="n"/>
      <c r="O46" s="31" t="n"/>
      <c r="P46" s="22" t="n"/>
      <c r="Q46" s="18" t="n"/>
      <c r="R46" s="30" t="n"/>
      <c r="S46" s="22" t="n"/>
      <c r="T46" s="22" t="n"/>
      <c r="U46" s="22" t="n"/>
      <c r="V46" s="18" t="n"/>
      <c r="W46" s="18" t="n"/>
      <c r="X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30" t="n"/>
      <c r="J47" s="30" t="n"/>
      <c r="K47" s="30" t="n"/>
      <c r="L47" s="22" t="n"/>
      <c r="M47" s="22" t="n"/>
      <c r="N47" s="22" t="n"/>
      <c r="O47" s="31" t="n"/>
      <c r="P47" s="22" t="n"/>
      <c r="Q47" s="18" t="n"/>
      <c r="R47" s="30" t="n"/>
      <c r="S47" s="22" t="n"/>
      <c r="T47" s="22" t="n"/>
      <c r="U47" s="22" t="n"/>
      <c r="V47" s="18" t="n"/>
      <c r="W47" s="18" t="n"/>
      <c r="X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30" t="n"/>
      <c r="J48" s="30" t="n"/>
      <c r="K48" s="30" t="n"/>
      <c r="L48" s="22" t="n"/>
      <c r="M48" s="22" t="n"/>
      <c r="N48" s="22" t="n"/>
      <c r="O48" s="31" t="n"/>
      <c r="P48" s="22" t="n"/>
      <c r="Q48" s="18" t="n"/>
      <c r="R48" s="30" t="n"/>
      <c r="S48" s="22" t="n"/>
      <c r="T48" s="22" t="n"/>
      <c r="U48" s="22" t="n"/>
      <c r="V48" s="18" t="n"/>
      <c r="W48" s="18" t="n"/>
      <c r="X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30" t="n"/>
      <c r="J49" s="30" t="n"/>
      <c r="K49" s="30" t="n"/>
      <c r="L49" s="22" t="n"/>
      <c r="M49" s="22" t="n"/>
      <c r="N49" s="22" t="n"/>
      <c r="O49" s="31" t="n"/>
      <c r="P49" s="22" t="n"/>
      <c r="Q49" s="18" t="n"/>
      <c r="R49" s="30" t="n"/>
      <c r="S49" s="22" t="n"/>
      <c r="T49" s="22" t="n"/>
      <c r="U49" s="22" t="n"/>
      <c r="V49" s="18" t="n"/>
      <c r="W49" s="18" t="n"/>
      <c r="X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30" t="n"/>
      <c r="J50" s="30" t="n"/>
      <c r="K50" s="30" t="n"/>
      <c r="L50" s="22" t="n"/>
      <c r="M50" s="22" t="n"/>
      <c r="N50" s="22" t="n"/>
      <c r="O50" s="31" t="n"/>
      <c r="P50" s="22" t="n"/>
      <c r="Q50" s="18" t="n"/>
      <c r="R50" s="30" t="n"/>
      <c r="S50" s="22" t="n"/>
      <c r="T50" s="22" t="n"/>
      <c r="U50" s="22" t="n"/>
      <c r="V50" s="18" t="n"/>
      <c r="W50" s="18" t="n"/>
      <c r="X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30" t="n"/>
      <c r="J51" s="30" t="n"/>
      <c r="K51" s="30" t="n"/>
      <c r="L51" s="22" t="n"/>
      <c r="M51" s="22" t="n"/>
      <c r="N51" s="22" t="n"/>
      <c r="O51" s="31" t="n"/>
      <c r="P51" s="22" t="n"/>
      <c r="Q51" s="18" t="n"/>
      <c r="R51" s="30" t="n"/>
      <c r="S51" s="22" t="n"/>
      <c r="T51" s="22" t="n"/>
      <c r="U51" s="22" t="n"/>
      <c r="V51" s="18" t="n"/>
      <c r="W51" s="18" t="n"/>
      <c r="X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30" t="n"/>
      <c r="J52" s="30" t="n"/>
      <c r="K52" s="30" t="n"/>
      <c r="L52" s="22" t="n"/>
      <c r="M52" s="22" t="n"/>
      <c r="N52" s="22" t="n"/>
      <c r="O52" s="31" t="n"/>
      <c r="P52" s="22" t="n"/>
      <c r="Q52" s="18" t="n"/>
      <c r="R52" s="30" t="n"/>
      <c r="S52" s="22" t="n"/>
      <c r="T52" s="22" t="n"/>
      <c r="U52" s="22" t="n"/>
      <c r="V52" s="18" t="n"/>
      <c r="W52" s="18" t="n"/>
      <c r="X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30" t="n"/>
      <c r="J53" s="30" t="n"/>
      <c r="K53" s="30" t="n"/>
      <c r="L53" s="22" t="n"/>
      <c r="M53" s="22" t="n"/>
      <c r="N53" s="22" t="n"/>
      <c r="O53" s="31" t="n"/>
      <c r="P53" s="22" t="n"/>
      <c r="Q53" s="18" t="n"/>
      <c r="R53" s="30" t="n"/>
      <c r="S53" s="22" t="n"/>
      <c r="T53" s="22" t="n"/>
      <c r="U53" s="22" t="n"/>
      <c r="V53" s="18" t="n"/>
      <c r="W53" s="18" t="n"/>
      <c r="X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30" t="n"/>
      <c r="J54" s="30" t="n"/>
      <c r="K54" s="30" t="n"/>
      <c r="L54" s="22" t="n"/>
      <c r="M54" s="22" t="n"/>
      <c r="N54" s="22" t="n"/>
      <c r="O54" s="31" t="n"/>
      <c r="P54" s="22" t="n"/>
      <c r="Q54" s="18" t="n"/>
      <c r="R54" s="30" t="n"/>
      <c r="S54" s="22" t="n"/>
      <c r="T54" s="22" t="n"/>
      <c r="U54" s="22" t="n"/>
      <c r="V54" s="18" t="n"/>
      <c r="W54" s="18" t="n"/>
      <c r="X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30" t="n"/>
      <c r="J55" s="30" t="n"/>
      <c r="K55" s="30" t="n"/>
      <c r="L55" s="22" t="n"/>
      <c r="M55" s="22" t="n"/>
      <c r="N55" s="22" t="n"/>
      <c r="O55" s="31" t="n"/>
      <c r="P55" s="22" t="n"/>
      <c r="Q55" s="18" t="n"/>
      <c r="R55" s="30" t="n"/>
      <c r="S55" s="22" t="n"/>
      <c r="T55" s="22" t="n"/>
      <c r="U55" s="22" t="n"/>
      <c r="V55" s="18" t="n"/>
      <c r="W55" s="18" t="n"/>
      <c r="X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30" t="n"/>
      <c r="J56" s="30" t="n"/>
      <c r="K56" s="30" t="n"/>
      <c r="L56" s="22" t="n"/>
      <c r="M56" s="22" t="n"/>
      <c r="N56" s="22" t="n"/>
      <c r="O56" s="31" t="n"/>
      <c r="P56" s="22" t="n"/>
      <c r="Q56" s="18" t="n"/>
      <c r="R56" s="30" t="n"/>
      <c r="S56" s="22" t="n"/>
      <c r="T56" s="22" t="n"/>
      <c r="U56" s="22" t="n"/>
      <c r="V56" s="18" t="n"/>
      <c r="W56" s="18" t="n"/>
      <c r="X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30" t="n"/>
      <c r="J57" s="30" t="n"/>
      <c r="K57" s="30" t="n"/>
      <c r="L57" s="22" t="n"/>
      <c r="M57" s="22" t="n"/>
      <c r="N57" s="22" t="n"/>
      <c r="O57" s="31" t="n"/>
      <c r="P57" s="22" t="n"/>
      <c r="Q57" s="18" t="n"/>
      <c r="R57" s="30" t="n"/>
      <c r="S57" s="22" t="n"/>
      <c r="T57" s="22" t="n"/>
      <c r="U57" s="22" t="n"/>
      <c r="V57" s="18" t="n"/>
      <c r="W57" s="18" t="n"/>
      <c r="X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30" t="n"/>
      <c r="J58" s="30" t="n"/>
      <c r="K58" s="30" t="n"/>
      <c r="L58" s="22" t="n"/>
      <c r="M58" s="22" t="n"/>
      <c r="N58" s="22" t="n"/>
      <c r="O58" s="31" t="n"/>
      <c r="P58" s="22" t="n"/>
      <c r="Q58" s="18" t="n"/>
      <c r="R58" s="30" t="n"/>
      <c r="S58" s="22" t="n"/>
      <c r="T58" s="22" t="n"/>
      <c r="U58" s="22" t="n"/>
      <c r="V58" s="18" t="n"/>
      <c r="W58" s="18" t="n"/>
      <c r="X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30" t="n"/>
      <c r="J59" s="30" t="n"/>
      <c r="K59" s="30" t="n"/>
      <c r="L59" s="22" t="n"/>
      <c r="M59" s="22" t="n"/>
      <c r="N59" s="22" t="n"/>
      <c r="O59" s="31" t="n"/>
      <c r="P59" s="22" t="n"/>
      <c r="Q59" s="18" t="n"/>
      <c r="R59" s="30" t="n"/>
      <c r="S59" s="22" t="n"/>
      <c r="T59" s="22" t="n"/>
      <c r="U59" s="22" t="n"/>
      <c r="V59" s="18" t="n"/>
      <c r="W59" s="18" t="n"/>
      <c r="X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30" t="n"/>
      <c r="J60" s="30" t="n"/>
      <c r="K60" s="30" t="n"/>
      <c r="L60" s="22" t="n"/>
      <c r="M60" s="22" t="n"/>
      <c r="N60" s="22" t="n"/>
      <c r="O60" s="31" t="n"/>
      <c r="P60" s="22" t="n"/>
      <c r="Q60" s="18" t="n"/>
      <c r="R60" s="30" t="n"/>
      <c r="S60" s="22" t="n"/>
      <c r="T60" s="22" t="n"/>
      <c r="U60" s="22" t="n"/>
      <c r="V60" s="18" t="n"/>
      <c r="W60" s="18" t="n"/>
      <c r="X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30" t="n"/>
      <c r="J61" s="30" t="n"/>
      <c r="K61" s="30" t="n"/>
      <c r="L61" s="22" t="n"/>
      <c r="M61" s="22" t="n"/>
      <c r="N61" s="22" t="n"/>
      <c r="O61" s="31" t="n"/>
      <c r="P61" s="22" t="n"/>
      <c r="Q61" s="18" t="n"/>
      <c r="R61" s="30" t="n"/>
      <c r="S61" s="22" t="n"/>
      <c r="T61" s="22" t="n"/>
      <c r="U61" s="22" t="n"/>
      <c r="V61" s="18" t="n"/>
      <c r="W61" s="18" t="n"/>
      <c r="X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30" t="n"/>
      <c r="J62" s="30" t="n"/>
      <c r="K62" s="30" t="n"/>
      <c r="L62" s="22" t="n"/>
      <c r="M62" s="22" t="n"/>
      <c r="N62" s="22" t="n"/>
      <c r="O62" s="31" t="n"/>
      <c r="P62" s="22" t="n"/>
      <c r="Q62" s="18" t="n"/>
      <c r="R62" s="30" t="n"/>
      <c r="S62" s="22" t="n"/>
      <c r="T62" s="22" t="n"/>
      <c r="U62" s="22" t="n"/>
      <c r="V62" s="18" t="n"/>
      <c r="W62" s="18" t="n"/>
      <c r="X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30" t="n"/>
      <c r="J63" s="30" t="n"/>
      <c r="K63" s="30" t="n"/>
      <c r="L63" s="22" t="n"/>
      <c r="M63" s="22" t="n"/>
      <c r="N63" s="22" t="n"/>
      <c r="O63" s="31" t="n"/>
      <c r="P63" s="22" t="n"/>
      <c r="Q63" s="18" t="n"/>
      <c r="R63" s="30" t="n"/>
      <c r="S63" s="22" t="n"/>
      <c r="T63" s="22" t="n"/>
      <c r="U63" s="22" t="n"/>
      <c r="V63" s="18" t="n"/>
      <c r="W63" s="18" t="n"/>
      <c r="X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30" t="n"/>
      <c r="J64" s="30" t="n"/>
      <c r="K64" s="30" t="n"/>
      <c r="L64" s="22" t="n"/>
      <c r="M64" s="22" t="n"/>
      <c r="N64" s="22" t="n"/>
      <c r="O64" s="31" t="n"/>
      <c r="P64" s="22" t="n"/>
      <c r="Q64" s="18" t="n"/>
      <c r="R64" s="30" t="n"/>
      <c r="S64" s="22" t="n"/>
      <c r="T64" s="22" t="n"/>
      <c r="U64" s="22" t="n"/>
      <c r="V64" s="18" t="n"/>
      <c r="W64" s="18" t="n"/>
      <c r="X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30" t="n"/>
      <c r="J65" s="30" t="n"/>
      <c r="K65" s="30" t="n"/>
      <c r="L65" s="22" t="n"/>
      <c r="M65" s="22" t="n"/>
      <c r="N65" s="22" t="n"/>
      <c r="O65" s="31" t="n"/>
      <c r="P65" s="22" t="n"/>
      <c r="Q65" s="18" t="n"/>
      <c r="R65" s="30" t="n"/>
      <c r="S65" s="22" t="n"/>
      <c r="T65" s="22" t="n"/>
      <c r="U65" s="22" t="n"/>
      <c r="V65" s="18" t="n"/>
      <c r="W65" s="18" t="n"/>
      <c r="X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30" t="n"/>
      <c r="J66" s="30" t="n"/>
      <c r="K66" s="30" t="n"/>
      <c r="L66" s="22" t="n"/>
      <c r="M66" s="22" t="n"/>
      <c r="N66" s="22" t="n"/>
      <c r="O66" s="31" t="n"/>
      <c r="P66" s="22" t="n"/>
      <c r="Q66" s="18" t="n"/>
      <c r="R66" s="30" t="n"/>
      <c r="S66" s="22" t="n"/>
      <c r="T66" s="22" t="n"/>
      <c r="U66" s="22" t="n"/>
      <c r="V66" s="18" t="n"/>
      <c r="W66" s="18" t="n"/>
      <c r="X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30" t="n"/>
      <c r="J67" s="30" t="n"/>
      <c r="K67" s="30" t="n"/>
      <c r="L67" s="22" t="n"/>
      <c r="M67" s="22" t="n"/>
      <c r="N67" s="22" t="n"/>
      <c r="O67" s="31" t="n"/>
      <c r="P67" s="22" t="n"/>
      <c r="Q67" s="18" t="n"/>
      <c r="R67" s="30" t="n"/>
      <c r="S67" s="22" t="n"/>
      <c r="T67" s="22" t="n"/>
      <c r="U67" s="22" t="n"/>
      <c r="V67" s="18" t="n"/>
      <c r="W67" s="18" t="n"/>
      <c r="X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30" t="n"/>
      <c r="J68" s="30" t="n"/>
      <c r="K68" s="30" t="n"/>
      <c r="L68" s="22" t="n"/>
      <c r="M68" s="22" t="n"/>
      <c r="N68" s="22" t="n"/>
      <c r="O68" s="31" t="n"/>
      <c r="P68" s="22" t="n"/>
      <c r="Q68" s="18" t="n"/>
      <c r="R68" s="30" t="n"/>
      <c r="S68" s="22" t="n"/>
      <c r="T68" s="22" t="n"/>
      <c r="U68" s="22" t="n"/>
      <c r="V68" s="18" t="n"/>
      <c r="W68" s="18" t="n"/>
      <c r="X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30" t="n"/>
      <c r="J69" s="30" t="n"/>
      <c r="K69" s="30" t="n"/>
      <c r="L69" s="22" t="n"/>
      <c r="M69" s="22" t="n"/>
      <c r="N69" s="22" t="n"/>
      <c r="O69" s="31" t="n"/>
      <c r="P69" s="22" t="n"/>
      <c r="Q69" s="18" t="n"/>
      <c r="R69" s="30" t="n"/>
      <c r="S69" s="22" t="n"/>
      <c r="T69" s="22" t="n"/>
      <c r="U69" s="22" t="n"/>
      <c r="V69" s="18" t="n"/>
      <c r="W69" s="18" t="n"/>
      <c r="X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30" t="n"/>
      <c r="J70" s="30" t="n"/>
      <c r="K70" s="30" t="n"/>
      <c r="L70" s="22" t="n"/>
      <c r="M70" s="22" t="n"/>
      <c r="N70" s="22" t="n"/>
      <c r="O70" s="31" t="n"/>
      <c r="P70" s="22" t="n"/>
      <c r="Q70" s="18" t="n"/>
      <c r="R70" s="30" t="n"/>
      <c r="S70" s="22" t="n"/>
      <c r="T70" s="22" t="n"/>
      <c r="U70" s="22" t="n"/>
      <c r="V70" s="18" t="n"/>
      <c r="W70" s="18" t="n"/>
      <c r="X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30" t="n"/>
      <c r="J71" s="30" t="n"/>
      <c r="K71" s="30" t="n"/>
      <c r="L71" s="22" t="n"/>
      <c r="M71" s="22" t="n"/>
      <c r="N71" s="22" t="n"/>
      <c r="O71" s="31" t="n"/>
      <c r="P71" s="22" t="n"/>
      <c r="Q71" s="18" t="n"/>
      <c r="R71" s="30" t="n"/>
      <c r="S71" s="22" t="n"/>
      <c r="T71" s="22" t="n"/>
      <c r="U71" s="22" t="n"/>
      <c r="V71" s="18" t="n"/>
      <c r="W71" s="18" t="n"/>
      <c r="X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30" t="n"/>
      <c r="J72" s="30" t="n"/>
      <c r="K72" s="30" t="n"/>
      <c r="L72" s="22" t="n"/>
      <c r="M72" s="22" t="n"/>
      <c r="N72" s="22" t="n"/>
      <c r="O72" s="31" t="n"/>
      <c r="P72" s="22" t="n"/>
      <c r="Q72" s="18" t="n"/>
      <c r="R72" s="30" t="n"/>
      <c r="S72" s="22" t="n"/>
      <c r="T72" s="22" t="n"/>
      <c r="U72" s="22" t="n"/>
      <c r="V72" s="18" t="n"/>
      <c r="W72" s="18" t="n"/>
      <c r="X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30" t="n"/>
      <c r="J73" s="30" t="n"/>
      <c r="K73" s="30" t="n"/>
      <c r="L73" s="22" t="n"/>
      <c r="M73" s="22" t="n"/>
      <c r="N73" s="22" t="n"/>
      <c r="O73" s="31" t="n"/>
      <c r="P73" s="22" t="n"/>
      <c r="Q73" s="18" t="n"/>
      <c r="R73" s="30" t="n"/>
      <c r="S73" s="22" t="n"/>
      <c r="T73" s="22" t="n"/>
      <c r="U73" s="22" t="n"/>
      <c r="V73" s="18" t="n"/>
      <c r="W73" s="18" t="n"/>
      <c r="X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30" t="n"/>
      <c r="J74" s="30" t="n"/>
      <c r="K74" s="30" t="n"/>
      <c r="L74" s="22" t="n"/>
      <c r="M74" s="22" t="n"/>
      <c r="N74" s="22" t="n"/>
      <c r="O74" s="31" t="n"/>
      <c r="P74" s="22" t="n"/>
      <c r="Q74" s="18" t="n"/>
      <c r="R74" s="30" t="n"/>
      <c r="S74" s="22" t="n"/>
      <c r="T74" s="22" t="n"/>
      <c r="U74" s="22" t="n"/>
      <c r="V74" s="18" t="n"/>
      <c r="W74" s="18" t="n"/>
      <c r="X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30" t="n"/>
      <c r="J75" s="30" t="n"/>
      <c r="K75" s="30" t="n"/>
      <c r="L75" s="22" t="n"/>
      <c r="M75" s="22" t="n"/>
      <c r="N75" s="22" t="n"/>
      <c r="O75" s="31" t="n"/>
      <c r="P75" s="22" t="n"/>
      <c r="Q75" s="18" t="n"/>
      <c r="R75" s="30" t="n"/>
      <c r="S75" s="22" t="n"/>
      <c r="T75" s="22" t="n"/>
      <c r="U75" s="22" t="n"/>
      <c r="V75" s="18" t="n"/>
      <c r="W75" s="18" t="n"/>
      <c r="X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30" t="n"/>
      <c r="J76" s="30" t="n"/>
      <c r="K76" s="30" t="n"/>
      <c r="L76" s="22" t="n"/>
      <c r="M76" s="22" t="n"/>
      <c r="N76" s="22" t="n"/>
      <c r="O76" s="31" t="n"/>
      <c r="P76" s="22" t="n"/>
      <c r="Q76" s="18" t="n"/>
      <c r="R76" s="30" t="n"/>
      <c r="S76" s="22" t="n"/>
      <c r="T76" s="22" t="n"/>
      <c r="U76" s="22" t="n"/>
      <c r="V76" s="18" t="n"/>
      <c r="W76" s="18" t="n"/>
      <c r="X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30" t="n"/>
      <c r="J77" s="30" t="n"/>
      <c r="K77" s="30" t="n"/>
      <c r="L77" s="22" t="n"/>
      <c r="M77" s="22" t="n"/>
      <c r="N77" s="22" t="n"/>
      <c r="O77" s="31" t="n"/>
      <c r="P77" s="22" t="n"/>
      <c r="Q77" s="18" t="n"/>
      <c r="R77" s="30" t="n"/>
      <c r="S77" s="22" t="n"/>
      <c r="T77" s="22" t="n"/>
      <c r="U77" s="22" t="n"/>
      <c r="V77" s="18" t="n"/>
      <c r="W77" s="18" t="n"/>
      <c r="X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30" t="n"/>
      <c r="J78" s="30" t="n"/>
      <c r="K78" s="30" t="n"/>
      <c r="L78" s="22" t="n"/>
      <c r="M78" s="22" t="n"/>
      <c r="N78" s="22" t="n"/>
      <c r="O78" s="31" t="n"/>
      <c r="P78" s="22" t="n"/>
      <c r="Q78" s="18" t="n"/>
      <c r="R78" s="30" t="n"/>
      <c r="S78" s="22" t="n"/>
      <c r="T78" s="22" t="n"/>
      <c r="U78" s="22" t="n"/>
      <c r="V78" s="18" t="n"/>
      <c r="W78" s="18" t="n"/>
      <c r="X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30" t="n"/>
      <c r="J79" s="30" t="n"/>
      <c r="K79" s="30" t="n"/>
      <c r="L79" s="22" t="n"/>
      <c r="M79" s="22" t="n"/>
      <c r="N79" s="22" t="n"/>
      <c r="O79" s="31" t="n"/>
      <c r="P79" s="22" t="n"/>
      <c r="Q79" s="18" t="n"/>
      <c r="R79" s="30" t="n"/>
      <c r="S79" s="22" t="n"/>
      <c r="T79" s="22" t="n"/>
      <c r="U79" s="22" t="n"/>
      <c r="V79" s="18" t="n"/>
      <c r="W79" s="18" t="n"/>
      <c r="X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30" t="n"/>
      <c r="J80" s="30" t="n"/>
      <c r="K80" s="30" t="n"/>
      <c r="L80" s="22" t="n"/>
      <c r="M80" s="22" t="n"/>
      <c r="N80" s="22" t="n"/>
      <c r="O80" s="31" t="n"/>
      <c r="P80" s="22" t="n"/>
      <c r="Q80" s="18" t="n"/>
      <c r="R80" s="30" t="n"/>
      <c r="S80" s="22" t="n"/>
      <c r="T80" s="22" t="n"/>
      <c r="U80" s="22" t="n"/>
      <c r="V80" s="18" t="n"/>
      <c r="W80" s="18" t="n"/>
      <c r="X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30" t="n"/>
      <c r="J81" s="30" t="n"/>
      <c r="K81" s="30" t="n"/>
      <c r="L81" s="22" t="n"/>
      <c r="M81" s="22" t="n"/>
      <c r="N81" s="22" t="n"/>
      <c r="O81" s="31" t="n"/>
      <c r="P81" s="22" t="n"/>
      <c r="Q81" s="18" t="n"/>
      <c r="R81" s="30" t="n"/>
      <c r="S81" s="22" t="n"/>
      <c r="T81" s="22" t="n"/>
      <c r="U81" s="22" t="n"/>
      <c r="V81" s="18" t="n"/>
      <c r="W81" s="18" t="n"/>
      <c r="X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30" t="n"/>
      <c r="J82" s="30" t="n"/>
      <c r="K82" s="30" t="n"/>
      <c r="L82" s="22" t="n"/>
      <c r="M82" s="22" t="n"/>
      <c r="N82" s="22" t="n"/>
      <c r="O82" s="31" t="n"/>
      <c r="P82" s="22" t="n"/>
      <c r="Q82" s="18" t="n"/>
      <c r="R82" s="30" t="n"/>
      <c r="S82" s="22" t="n"/>
      <c r="T82" s="22" t="n"/>
      <c r="U82" s="22" t="n"/>
      <c r="V82" s="18" t="n"/>
      <c r="W82" s="18" t="n"/>
      <c r="X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30" t="n"/>
      <c r="J83" s="30" t="n"/>
      <c r="K83" s="30" t="n"/>
      <c r="L83" s="22" t="n"/>
      <c r="M83" s="22" t="n"/>
      <c r="N83" s="22" t="n"/>
      <c r="O83" s="31" t="n"/>
      <c r="P83" s="22" t="n"/>
      <c r="Q83" s="18" t="n"/>
      <c r="R83" s="30" t="n"/>
      <c r="S83" s="22" t="n"/>
      <c r="T83" s="22" t="n"/>
      <c r="U83" s="22" t="n"/>
      <c r="V83" s="18" t="n"/>
      <c r="W83" s="18" t="n"/>
      <c r="X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30" t="n"/>
      <c r="J84" s="30" t="n"/>
      <c r="K84" s="30" t="n"/>
      <c r="L84" s="22" t="n"/>
      <c r="M84" s="22" t="n"/>
      <c r="N84" s="22" t="n"/>
      <c r="O84" s="31" t="n"/>
      <c r="P84" s="22" t="n"/>
      <c r="Q84" s="18" t="n"/>
      <c r="R84" s="30" t="n"/>
      <c r="S84" s="22" t="n"/>
      <c r="T84" s="22" t="n"/>
      <c r="U84" s="22" t="n"/>
      <c r="V84" s="18" t="n"/>
      <c r="W84" s="18" t="n"/>
      <c r="X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30" t="n"/>
      <c r="J85" s="30" t="n"/>
      <c r="K85" s="30" t="n"/>
      <c r="L85" s="22" t="n"/>
      <c r="M85" s="22" t="n"/>
      <c r="N85" s="22" t="n"/>
      <c r="O85" s="31" t="n"/>
      <c r="P85" s="22" t="n"/>
      <c r="Q85" s="18" t="n"/>
      <c r="R85" s="30" t="n"/>
      <c r="S85" s="22" t="n"/>
      <c r="T85" s="22" t="n"/>
      <c r="U85" s="22" t="n"/>
      <c r="V85" s="18" t="n"/>
      <c r="W85" s="18" t="n"/>
      <c r="X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30" t="n"/>
      <c r="J86" s="30" t="n"/>
      <c r="K86" s="30" t="n"/>
      <c r="L86" s="22" t="n"/>
      <c r="M86" s="22" t="n"/>
      <c r="N86" s="22" t="n"/>
      <c r="O86" s="31" t="n"/>
      <c r="P86" s="22" t="n"/>
      <c r="Q86" s="18" t="n"/>
      <c r="R86" s="30" t="n"/>
      <c r="S86" s="22" t="n"/>
      <c r="T86" s="22" t="n"/>
      <c r="U86" s="22" t="n"/>
      <c r="V86" s="18" t="n"/>
      <c r="W86" s="18" t="n"/>
      <c r="X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30" t="n"/>
      <c r="J87" s="30" t="n"/>
      <c r="K87" s="30" t="n"/>
      <c r="L87" s="22" t="n"/>
      <c r="M87" s="22" t="n"/>
      <c r="N87" s="22" t="n"/>
      <c r="O87" s="31" t="n"/>
      <c r="P87" s="22" t="n"/>
      <c r="Q87" s="18" t="n"/>
      <c r="R87" s="30" t="n"/>
      <c r="S87" s="22" t="n"/>
      <c r="T87" s="22" t="n"/>
      <c r="U87" s="22" t="n"/>
      <c r="V87" s="18" t="n"/>
      <c r="W87" s="18" t="n"/>
      <c r="X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30" t="n"/>
      <c r="J88" s="30" t="n"/>
      <c r="K88" s="30" t="n"/>
      <c r="L88" s="22" t="n"/>
      <c r="M88" s="22" t="n"/>
      <c r="N88" s="22" t="n"/>
      <c r="O88" s="31" t="n"/>
      <c r="P88" s="22" t="n"/>
      <c r="Q88" s="18" t="n"/>
      <c r="R88" s="30" t="n"/>
      <c r="S88" s="22" t="n"/>
      <c r="T88" s="22" t="n"/>
      <c r="U88" s="22" t="n"/>
      <c r="V88" s="18" t="n"/>
      <c r="W88" s="18" t="n"/>
      <c r="X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30" t="n"/>
      <c r="J89" s="30" t="n"/>
      <c r="K89" s="30" t="n"/>
      <c r="L89" s="22" t="n"/>
      <c r="M89" s="22" t="n"/>
      <c r="N89" s="22" t="n"/>
      <c r="O89" s="31" t="n"/>
      <c r="P89" s="22" t="n"/>
      <c r="Q89" s="18" t="n"/>
      <c r="R89" s="30" t="n"/>
      <c r="S89" s="22" t="n"/>
      <c r="T89" s="22" t="n"/>
      <c r="U89" s="22" t="n"/>
      <c r="V89" s="18" t="n"/>
      <c r="W89" s="18" t="n"/>
      <c r="X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30" t="n"/>
      <c r="J90" s="30" t="n"/>
      <c r="K90" s="30" t="n"/>
      <c r="L90" s="22" t="n"/>
      <c r="M90" s="22" t="n"/>
      <c r="N90" s="22" t="n"/>
      <c r="O90" s="31" t="n"/>
      <c r="P90" s="22" t="n"/>
      <c r="Q90" s="18" t="n"/>
      <c r="R90" s="30" t="n"/>
      <c r="S90" s="22" t="n"/>
      <c r="T90" s="22" t="n"/>
      <c r="U90" s="22" t="n"/>
      <c r="V90" s="18" t="n"/>
      <c r="W90" s="18" t="n"/>
      <c r="X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30" t="n"/>
      <c r="J91" s="30" t="n"/>
      <c r="K91" s="30" t="n"/>
      <c r="L91" s="22" t="n"/>
      <c r="M91" s="22" t="n"/>
      <c r="N91" s="22" t="n"/>
      <c r="O91" s="31" t="n"/>
      <c r="P91" s="22" t="n"/>
      <c r="Q91" s="18" t="n"/>
      <c r="R91" s="30" t="n"/>
      <c r="S91" s="22" t="n"/>
      <c r="T91" s="22" t="n"/>
      <c r="U91" s="22" t="n"/>
      <c r="V91" s="18" t="n"/>
      <c r="W91" s="18" t="n"/>
      <c r="X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30" t="n"/>
      <c r="J92" s="30" t="n"/>
      <c r="K92" s="30" t="n"/>
      <c r="L92" s="22" t="n"/>
      <c r="M92" s="22" t="n"/>
      <c r="N92" s="22" t="n"/>
      <c r="O92" s="31" t="n"/>
      <c r="P92" s="22" t="n"/>
      <c r="Q92" s="18" t="n"/>
      <c r="R92" s="30" t="n"/>
      <c r="S92" s="22" t="n"/>
      <c r="T92" s="22" t="n"/>
      <c r="U92" s="22" t="n"/>
      <c r="V92" s="18" t="n"/>
      <c r="W92" s="18" t="n"/>
      <c r="X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30" t="n"/>
      <c r="J93" s="30" t="n"/>
      <c r="K93" s="30" t="n"/>
      <c r="L93" s="22" t="n"/>
      <c r="M93" s="22" t="n"/>
      <c r="N93" s="22" t="n"/>
      <c r="O93" s="31" t="n"/>
      <c r="P93" s="22" t="n"/>
      <c r="Q93" s="18" t="n"/>
      <c r="R93" s="30" t="n"/>
      <c r="S93" s="22" t="n"/>
      <c r="T93" s="22" t="n"/>
      <c r="U93" s="22" t="n"/>
      <c r="V93" s="18" t="n"/>
      <c r="W93" s="18" t="n"/>
      <c r="X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30" t="n"/>
      <c r="J94" s="30" t="n"/>
      <c r="K94" s="30" t="n"/>
      <c r="L94" s="22" t="n"/>
      <c r="M94" s="22" t="n"/>
      <c r="N94" s="22" t="n"/>
      <c r="O94" s="31" t="n"/>
      <c r="P94" s="22" t="n"/>
      <c r="Q94" s="18" t="n"/>
      <c r="R94" s="30" t="n"/>
      <c r="S94" s="22" t="n"/>
      <c r="T94" s="22" t="n"/>
      <c r="U94" s="22" t="n"/>
      <c r="V94" s="18" t="n"/>
      <c r="W94" s="18" t="n"/>
      <c r="X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30" t="n"/>
      <c r="J95" s="30" t="n"/>
      <c r="K95" s="30" t="n"/>
      <c r="L95" s="22" t="n"/>
      <c r="M95" s="22" t="n"/>
      <c r="N95" s="22" t="n"/>
      <c r="O95" s="31" t="n"/>
      <c r="P95" s="22" t="n"/>
      <c r="Q95" s="18" t="n"/>
      <c r="R95" s="30" t="n"/>
      <c r="S95" s="22" t="n"/>
      <c r="T95" s="22" t="n"/>
      <c r="U95" s="22" t="n"/>
      <c r="V95" s="18" t="n"/>
      <c r="W95" s="18" t="n"/>
      <c r="X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30" t="n"/>
      <c r="J96" s="30" t="n"/>
      <c r="K96" s="30" t="n"/>
      <c r="L96" s="22" t="n"/>
      <c r="M96" s="22" t="n"/>
      <c r="N96" s="22" t="n"/>
      <c r="O96" s="31" t="n"/>
      <c r="P96" s="22" t="n"/>
      <c r="Q96" s="18" t="n"/>
      <c r="R96" s="30" t="n"/>
      <c r="S96" s="22" t="n"/>
      <c r="T96" s="22" t="n"/>
      <c r="U96" s="22" t="n"/>
      <c r="V96" s="18" t="n"/>
      <c r="W96" s="18" t="n"/>
      <c r="X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30" t="n"/>
      <c r="J97" s="30" t="n"/>
      <c r="K97" s="30" t="n"/>
      <c r="L97" s="22" t="n"/>
      <c r="M97" s="22" t="n"/>
      <c r="N97" s="22" t="n"/>
      <c r="O97" s="31" t="n"/>
      <c r="P97" s="22" t="n"/>
      <c r="Q97" s="18" t="n"/>
      <c r="R97" s="30" t="n"/>
      <c r="S97" s="22" t="n"/>
      <c r="T97" s="22" t="n"/>
      <c r="U97" s="22" t="n"/>
      <c r="V97" s="18" t="n"/>
      <c r="W97" s="18" t="n"/>
      <c r="X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30" t="n"/>
      <c r="J98" s="30" t="n"/>
      <c r="K98" s="30" t="n"/>
      <c r="L98" s="22" t="n"/>
      <c r="M98" s="22" t="n"/>
      <c r="N98" s="22" t="n"/>
      <c r="O98" s="31" t="n"/>
      <c r="P98" s="22" t="n"/>
      <c r="Q98" s="18" t="n"/>
      <c r="R98" s="30" t="n"/>
      <c r="S98" s="22" t="n"/>
      <c r="T98" s="22" t="n"/>
      <c r="U98" s="22" t="n"/>
      <c r="V98" s="18" t="n"/>
      <c r="W98" s="18" t="n"/>
      <c r="X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30" t="n"/>
      <c r="J99" s="30" t="n"/>
      <c r="K99" s="30" t="n"/>
      <c r="L99" s="22" t="n"/>
      <c r="M99" s="22" t="n"/>
      <c r="N99" s="22" t="n"/>
      <c r="O99" s="31" t="n"/>
      <c r="P99" s="22" t="n"/>
      <c r="Q99" s="18" t="n"/>
      <c r="R99" s="30" t="n"/>
      <c r="S99" s="22" t="n"/>
      <c r="T99" s="22" t="n"/>
      <c r="U99" s="22" t="n"/>
      <c r="V99" s="18" t="n"/>
      <c r="W99" s="18" t="n"/>
      <c r="X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30" t="n"/>
      <c r="J100" s="30" t="n"/>
      <c r="K100" s="30" t="n"/>
      <c r="L100" s="22" t="n"/>
      <c r="M100" s="22" t="n"/>
      <c r="N100" s="22" t="n"/>
      <c r="O100" s="31" t="n"/>
      <c r="P100" s="22" t="n"/>
      <c r="Q100" s="18" t="n"/>
      <c r="R100" s="30" t="n"/>
      <c r="S100" s="22" t="n"/>
      <c r="T100" s="22" t="n"/>
      <c r="U100" s="22" t="n"/>
      <c r="V100" s="18" t="n"/>
      <c r="W100" s="18" t="n"/>
      <c r="X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30" t="n"/>
      <c r="J101" s="30" t="n"/>
      <c r="K101" s="30" t="n"/>
      <c r="L101" s="22" t="n"/>
      <c r="M101" s="22" t="n"/>
      <c r="N101" s="22" t="n"/>
      <c r="O101" s="31" t="n"/>
      <c r="P101" s="22" t="n"/>
      <c r="Q101" s="18" t="n"/>
      <c r="R101" s="30" t="n"/>
      <c r="S101" s="22" t="n"/>
      <c r="T101" s="22" t="n"/>
      <c r="U101" s="22" t="n"/>
      <c r="V101" s="18" t="n"/>
      <c r="W101" s="18" t="n"/>
      <c r="X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30" t="n"/>
      <c r="J102" s="30" t="n"/>
      <c r="K102" s="30" t="n"/>
      <c r="L102" s="22" t="n"/>
      <c r="M102" s="22" t="n"/>
      <c r="N102" s="22" t="n"/>
      <c r="O102" s="31" t="n"/>
      <c r="P102" s="22" t="n"/>
      <c r="Q102" s="18" t="n"/>
      <c r="R102" s="30" t="n"/>
      <c r="S102" s="22" t="n"/>
      <c r="T102" s="22" t="n"/>
      <c r="U102" s="22" t="n"/>
      <c r="V102" s="18" t="n"/>
      <c r="W102" s="18" t="n"/>
      <c r="X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30" t="n"/>
      <c r="J103" s="30" t="n"/>
      <c r="K103" s="30" t="n"/>
      <c r="L103" s="22" t="n"/>
      <c r="M103" s="22" t="n"/>
      <c r="N103" s="22" t="n"/>
      <c r="O103" s="31" t="n"/>
      <c r="P103" s="22" t="n"/>
      <c r="Q103" s="18" t="n"/>
      <c r="R103" s="30" t="n"/>
      <c r="S103" s="22" t="n"/>
      <c r="T103" s="22" t="n"/>
      <c r="U103" s="22" t="n"/>
      <c r="V103" s="18" t="n"/>
      <c r="W103" s="18" t="n"/>
      <c r="X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30" t="n"/>
      <c r="J104" s="30" t="n"/>
      <c r="K104" s="30" t="n"/>
      <c r="L104" s="22" t="n"/>
      <c r="M104" s="22" t="n"/>
      <c r="N104" s="22" t="n"/>
      <c r="O104" s="31" t="n"/>
      <c r="P104" s="22" t="n"/>
      <c r="Q104" s="18" t="n"/>
      <c r="R104" s="30" t="n"/>
      <c r="S104" s="22" t="n"/>
      <c r="T104" s="22" t="n"/>
      <c r="U104" s="22" t="n"/>
      <c r="V104" s="18" t="n"/>
      <c r="W104" s="18" t="n"/>
      <c r="X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30" t="n"/>
      <c r="J105" s="30" t="n"/>
      <c r="K105" s="30" t="n"/>
      <c r="L105" s="22" t="n"/>
      <c r="M105" s="22" t="n"/>
      <c r="N105" s="22" t="n"/>
      <c r="O105" s="31" t="n"/>
      <c r="P105" s="22" t="n"/>
      <c r="Q105" s="18" t="n"/>
      <c r="R105" s="30" t="n"/>
      <c r="S105" s="22" t="n"/>
      <c r="T105" s="22" t="n"/>
      <c r="U105" s="22" t="n"/>
      <c r="V105" s="18" t="n"/>
      <c r="W105" s="18" t="n"/>
      <c r="X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30" t="n"/>
      <c r="J106" s="30" t="n"/>
      <c r="K106" s="30" t="n"/>
      <c r="L106" s="22" t="n"/>
      <c r="M106" s="22" t="n"/>
      <c r="N106" s="22" t="n"/>
      <c r="O106" s="31" t="n"/>
      <c r="P106" s="22" t="n"/>
      <c r="Q106" s="18" t="n"/>
      <c r="R106" s="30" t="n"/>
      <c r="S106" s="22" t="n"/>
      <c r="T106" s="22" t="n"/>
      <c r="U106" s="22" t="n"/>
      <c r="V106" s="18" t="n"/>
      <c r="W106" s="18" t="n"/>
      <c r="X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30" t="n"/>
      <c r="J107" s="30" t="n"/>
      <c r="K107" s="30" t="n"/>
      <c r="L107" s="22" t="n"/>
      <c r="M107" s="22" t="n"/>
      <c r="N107" s="22" t="n"/>
      <c r="O107" s="31" t="n"/>
      <c r="P107" s="22" t="n"/>
      <c r="Q107" s="18" t="n"/>
      <c r="R107" s="30" t="n"/>
      <c r="S107" s="22" t="n"/>
      <c r="T107" s="22" t="n"/>
      <c r="U107" s="22" t="n"/>
      <c r="V107" s="18" t="n"/>
      <c r="W107" s="18" t="n"/>
      <c r="X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30" t="n"/>
      <c r="J108" s="30" t="n"/>
      <c r="K108" s="30" t="n"/>
      <c r="L108" s="22" t="n"/>
      <c r="M108" s="22" t="n"/>
      <c r="N108" s="22" t="n"/>
      <c r="O108" s="31" t="n"/>
      <c r="P108" s="22" t="n"/>
      <c r="Q108" s="18" t="n"/>
      <c r="R108" s="30" t="n"/>
      <c r="S108" s="22" t="n"/>
      <c r="T108" s="22" t="n"/>
      <c r="U108" s="22" t="n"/>
      <c r="V108" s="18" t="n"/>
      <c r="W108" s="18" t="n"/>
      <c r="X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30" t="n"/>
      <c r="J109" s="30" t="n"/>
      <c r="K109" s="30" t="n"/>
      <c r="L109" s="22" t="n"/>
      <c r="M109" s="22" t="n"/>
      <c r="N109" s="22" t="n"/>
      <c r="O109" s="31" t="n"/>
      <c r="P109" s="22" t="n"/>
      <c r="Q109" s="18" t="n"/>
      <c r="R109" s="30" t="n"/>
      <c r="S109" s="22" t="n"/>
      <c r="T109" s="22" t="n"/>
      <c r="U109" s="22" t="n"/>
      <c r="V109" s="18" t="n"/>
      <c r="W109" s="18" t="n"/>
      <c r="X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30" t="n"/>
      <c r="J110" s="30" t="n"/>
      <c r="K110" s="30" t="n"/>
      <c r="L110" s="22" t="n"/>
      <c r="M110" s="22" t="n"/>
      <c r="N110" s="22" t="n"/>
      <c r="O110" s="31" t="n"/>
      <c r="P110" s="22" t="n"/>
      <c r="Q110" s="18" t="n"/>
      <c r="R110" s="30" t="n"/>
      <c r="S110" s="22" t="n"/>
      <c r="T110" s="22" t="n"/>
      <c r="U110" s="22" t="n"/>
      <c r="V110" s="18" t="n"/>
      <c r="W110" s="18" t="n"/>
      <c r="X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30" t="n"/>
      <c r="J111" s="30" t="n"/>
      <c r="K111" s="30" t="n"/>
      <c r="L111" s="22" t="n"/>
      <c r="M111" s="22" t="n"/>
      <c r="N111" s="22" t="n"/>
      <c r="O111" s="31" t="n"/>
      <c r="P111" s="22" t="n"/>
      <c r="Q111" s="18" t="n"/>
      <c r="R111" s="30" t="n"/>
      <c r="S111" s="22" t="n"/>
      <c r="T111" s="22" t="n"/>
      <c r="U111" s="22" t="n"/>
      <c r="V111" s="18" t="n"/>
      <c r="W111" s="18" t="n"/>
      <c r="X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30" t="n"/>
      <c r="J112" s="30" t="n"/>
      <c r="K112" s="30" t="n"/>
      <c r="L112" s="22" t="n"/>
      <c r="M112" s="22" t="n"/>
      <c r="N112" s="22" t="n"/>
      <c r="O112" s="31" t="n"/>
      <c r="P112" s="22" t="n"/>
      <c r="Q112" s="18" t="n"/>
      <c r="R112" s="30" t="n"/>
      <c r="S112" s="22" t="n"/>
      <c r="T112" s="22" t="n"/>
      <c r="U112" s="22" t="n"/>
      <c r="V112" s="18" t="n"/>
      <c r="W112" s="18" t="n"/>
      <c r="X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30" t="n"/>
      <c r="J113" s="30" t="n"/>
      <c r="K113" s="30" t="n"/>
      <c r="L113" s="22" t="n"/>
      <c r="M113" s="22" t="n"/>
      <c r="N113" s="22" t="n"/>
      <c r="O113" s="31" t="n"/>
      <c r="P113" s="22" t="n"/>
      <c r="Q113" s="18" t="n"/>
      <c r="R113" s="30" t="n"/>
      <c r="S113" s="22" t="n"/>
      <c r="T113" s="22" t="n"/>
      <c r="U113" s="22" t="n"/>
      <c r="V113" s="18" t="n"/>
      <c r="W113" s="18" t="n"/>
      <c r="X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30" t="n"/>
      <c r="J114" s="30" t="n"/>
      <c r="K114" s="30" t="n"/>
      <c r="L114" s="22" t="n"/>
      <c r="M114" s="22" t="n"/>
      <c r="N114" s="22" t="n"/>
      <c r="O114" s="31" t="n"/>
      <c r="P114" s="22" t="n"/>
      <c r="Q114" s="18" t="n"/>
      <c r="R114" s="30" t="n"/>
      <c r="S114" s="22" t="n"/>
      <c r="T114" s="22" t="n"/>
      <c r="U114" s="22" t="n"/>
      <c r="V114" s="18" t="n"/>
      <c r="W114" s="18" t="n"/>
      <c r="X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30" t="n"/>
      <c r="J115" s="30" t="n"/>
      <c r="K115" s="30" t="n"/>
      <c r="L115" s="22" t="n"/>
      <c r="M115" s="22" t="n"/>
      <c r="N115" s="22" t="n"/>
      <c r="O115" s="31" t="n"/>
      <c r="P115" s="22" t="n"/>
      <c r="Q115" s="18" t="n"/>
      <c r="R115" s="30" t="n"/>
      <c r="S115" s="22" t="n"/>
      <c r="T115" s="22" t="n"/>
      <c r="U115" s="22" t="n"/>
      <c r="V115" s="18" t="n"/>
      <c r="W115" s="18" t="n"/>
      <c r="X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30" t="n"/>
      <c r="J116" s="30" t="n"/>
      <c r="K116" s="30" t="n"/>
      <c r="L116" s="22" t="n"/>
      <c r="M116" s="22" t="n"/>
      <c r="N116" s="22" t="n"/>
      <c r="O116" s="31" t="n"/>
      <c r="P116" s="22" t="n"/>
      <c r="Q116" s="18" t="n"/>
      <c r="R116" s="30" t="n"/>
      <c r="S116" s="22" t="n"/>
      <c r="T116" s="22" t="n"/>
      <c r="U116" s="22" t="n"/>
      <c r="V116" s="18" t="n"/>
      <c r="W116" s="18" t="n"/>
      <c r="X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30" t="n"/>
      <c r="J117" s="30" t="n"/>
      <c r="K117" s="30" t="n"/>
      <c r="L117" s="22" t="n"/>
      <c r="M117" s="22" t="n"/>
      <c r="N117" s="22" t="n"/>
      <c r="O117" s="31" t="n"/>
      <c r="P117" s="22" t="n"/>
      <c r="Q117" s="18" t="n"/>
      <c r="R117" s="30" t="n"/>
      <c r="S117" s="22" t="n"/>
      <c r="T117" s="22" t="n"/>
      <c r="U117" s="22" t="n"/>
      <c r="V117" s="18" t="n"/>
      <c r="W117" s="18" t="n"/>
      <c r="X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30" t="n"/>
      <c r="J118" s="30" t="n"/>
      <c r="K118" s="30" t="n"/>
      <c r="L118" s="22" t="n"/>
      <c r="M118" s="22" t="n"/>
      <c r="N118" s="22" t="n"/>
      <c r="O118" s="31" t="n"/>
      <c r="P118" s="22" t="n"/>
      <c r="Q118" s="18" t="n"/>
      <c r="R118" s="30" t="n"/>
      <c r="S118" s="22" t="n"/>
      <c r="T118" s="22" t="n"/>
      <c r="U118" s="22" t="n"/>
      <c r="V118" s="18" t="n"/>
      <c r="W118" s="18" t="n"/>
      <c r="X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30" t="n"/>
      <c r="J119" s="30" t="n"/>
      <c r="K119" s="30" t="n"/>
      <c r="L119" s="22" t="n"/>
      <c r="M119" s="22" t="n"/>
      <c r="N119" s="22" t="n"/>
      <c r="O119" s="31" t="n"/>
      <c r="P119" s="22" t="n"/>
      <c r="Q119" s="18" t="n"/>
      <c r="R119" s="30" t="n"/>
      <c r="S119" s="22" t="n"/>
      <c r="T119" s="22" t="n"/>
      <c r="U119" s="22" t="n"/>
      <c r="V119" s="18" t="n"/>
      <c r="W119" s="18" t="n"/>
      <c r="X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30" t="n"/>
      <c r="J120" s="30" t="n"/>
      <c r="K120" s="30" t="n"/>
      <c r="L120" s="22" t="n"/>
      <c r="M120" s="22" t="n"/>
      <c r="N120" s="22" t="n"/>
      <c r="O120" s="31" t="n"/>
      <c r="P120" s="22" t="n"/>
      <c r="Q120" s="18" t="n"/>
      <c r="R120" s="30" t="n"/>
      <c r="S120" s="22" t="n"/>
      <c r="T120" s="22" t="n"/>
      <c r="U120" s="22" t="n"/>
      <c r="V120" s="18" t="n"/>
      <c r="W120" s="18" t="n"/>
      <c r="X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30" t="n"/>
      <c r="J121" s="30" t="n"/>
      <c r="K121" s="30" t="n"/>
      <c r="L121" s="22" t="n"/>
      <c r="M121" s="22" t="n"/>
      <c r="N121" s="22" t="n"/>
      <c r="O121" s="31" t="n"/>
      <c r="P121" s="22" t="n"/>
      <c r="Q121" s="18" t="n"/>
      <c r="R121" s="30" t="n"/>
      <c r="S121" s="22" t="n"/>
      <c r="T121" s="22" t="n"/>
      <c r="U121" s="22" t="n"/>
      <c r="V121" s="18" t="n"/>
      <c r="W121" s="18" t="n"/>
      <c r="X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30" t="n"/>
      <c r="J122" s="30" t="n"/>
      <c r="K122" s="30" t="n"/>
      <c r="L122" s="22" t="n"/>
      <c r="M122" s="22" t="n"/>
      <c r="N122" s="22" t="n"/>
      <c r="O122" s="31" t="n"/>
      <c r="P122" s="22" t="n"/>
      <c r="Q122" s="18" t="n"/>
      <c r="R122" s="30" t="n"/>
      <c r="S122" s="22" t="n"/>
      <c r="T122" s="22" t="n"/>
      <c r="U122" s="22" t="n"/>
      <c r="V122" s="18" t="n"/>
      <c r="W122" s="18" t="n"/>
      <c r="X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30" t="n"/>
      <c r="J123" s="30" t="n"/>
      <c r="K123" s="30" t="n"/>
      <c r="L123" s="22" t="n"/>
      <c r="M123" s="22" t="n"/>
      <c r="N123" s="22" t="n"/>
      <c r="O123" s="31" t="n"/>
      <c r="P123" s="22" t="n"/>
      <c r="Q123" s="18" t="n"/>
      <c r="R123" s="30" t="n"/>
      <c r="S123" s="22" t="n"/>
      <c r="T123" s="22" t="n"/>
      <c r="U123" s="22" t="n"/>
      <c r="V123" s="18" t="n"/>
      <c r="W123" s="18" t="n"/>
      <c r="X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30" t="n"/>
      <c r="J124" s="30" t="n"/>
      <c r="K124" s="30" t="n"/>
      <c r="L124" s="22" t="n"/>
      <c r="M124" s="22" t="n"/>
      <c r="N124" s="22" t="n"/>
      <c r="O124" s="31" t="n"/>
      <c r="P124" s="22" t="n"/>
      <c r="Q124" s="18" t="n"/>
      <c r="R124" s="30" t="n"/>
      <c r="S124" s="22" t="n"/>
      <c r="T124" s="22" t="n"/>
      <c r="U124" s="22" t="n"/>
      <c r="V124" s="18" t="n"/>
      <c r="W124" s="18" t="n"/>
      <c r="X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30" t="n"/>
      <c r="J125" s="30" t="n"/>
      <c r="K125" s="30" t="n"/>
      <c r="L125" s="22" t="n"/>
      <c r="M125" s="22" t="n"/>
      <c r="N125" s="22" t="n"/>
      <c r="O125" s="31" t="n"/>
      <c r="P125" s="22" t="n"/>
      <c r="Q125" s="18" t="n"/>
      <c r="R125" s="30" t="n"/>
      <c r="S125" s="22" t="n"/>
      <c r="T125" s="22" t="n"/>
      <c r="U125" s="22" t="n"/>
      <c r="V125" s="18" t="n"/>
      <c r="W125" s="18" t="n"/>
      <c r="X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30" t="n"/>
      <c r="J126" s="30" t="n"/>
      <c r="K126" s="30" t="n"/>
      <c r="L126" s="22" t="n"/>
      <c r="M126" s="22" t="n"/>
      <c r="N126" s="22" t="n"/>
      <c r="O126" s="31" t="n"/>
      <c r="P126" s="22" t="n"/>
      <c r="Q126" s="18" t="n"/>
      <c r="R126" s="30" t="n"/>
      <c r="S126" s="22" t="n"/>
      <c r="T126" s="22" t="n"/>
      <c r="U126" s="22" t="n"/>
      <c r="V126" s="18" t="n"/>
      <c r="W126" s="18" t="n"/>
      <c r="X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30" t="n"/>
      <c r="J127" s="30" t="n"/>
      <c r="K127" s="30" t="n"/>
      <c r="L127" s="22" t="n"/>
      <c r="M127" s="22" t="n"/>
      <c r="N127" s="22" t="n"/>
      <c r="O127" s="31" t="n"/>
      <c r="P127" s="22" t="n"/>
      <c r="Q127" s="18" t="n"/>
      <c r="R127" s="30" t="n"/>
      <c r="S127" s="22" t="n"/>
      <c r="T127" s="22" t="n"/>
      <c r="U127" s="22" t="n"/>
      <c r="V127" s="18" t="n"/>
      <c r="W127" s="18" t="n"/>
      <c r="X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30" t="n"/>
      <c r="J128" s="30" t="n"/>
      <c r="K128" s="30" t="n"/>
      <c r="L128" s="22" t="n"/>
      <c r="M128" s="22" t="n"/>
      <c r="N128" s="22" t="n"/>
      <c r="O128" s="31" t="n"/>
      <c r="P128" s="22" t="n"/>
      <c r="Q128" s="18" t="n"/>
      <c r="R128" s="30" t="n"/>
      <c r="S128" s="22" t="n"/>
      <c r="T128" s="22" t="n"/>
      <c r="U128" s="22" t="n"/>
      <c r="V128" s="18" t="n"/>
      <c r="W128" s="18" t="n"/>
      <c r="X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30" t="n"/>
      <c r="J129" s="30" t="n"/>
      <c r="K129" s="30" t="n"/>
      <c r="L129" s="22" t="n"/>
      <c r="M129" s="22" t="n"/>
      <c r="N129" s="22" t="n"/>
      <c r="O129" s="31" t="n"/>
      <c r="P129" s="22" t="n"/>
      <c r="Q129" s="18" t="n"/>
      <c r="R129" s="30" t="n"/>
      <c r="S129" s="22" t="n"/>
      <c r="T129" s="22" t="n"/>
      <c r="U129" s="22" t="n"/>
      <c r="V129" s="18" t="n"/>
      <c r="W129" s="18" t="n"/>
      <c r="X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30" t="n"/>
      <c r="J130" s="30" t="n"/>
      <c r="K130" s="30" t="n"/>
      <c r="L130" s="22" t="n"/>
      <c r="M130" s="22" t="n"/>
      <c r="N130" s="22" t="n"/>
      <c r="O130" s="31" t="n"/>
      <c r="P130" s="22" t="n"/>
      <c r="Q130" s="18" t="n"/>
      <c r="R130" s="30" t="n"/>
      <c r="S130" s="22" t="n"/>
      <c r="T130" s="22" t="n"/>
      <c r="U130" s="22" t="n"/>
      <c r="V130" s="18" t="n"/>
      <c r="W130" s="18" t="n"/>
      <c r="X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30" t="n"/>
      <c r="J131" s="30" t="n"/>
      <c r="K131" s="30" t="n"/>
      <c r="L131" s="22" t="n"/>
      <c r="M131" s="22" t="n"/>
      <c r="N131" s="22" t="n"/>
      <c r="O131" s="31" t="n"/>
      <c r="P131" s="22" t="n"/>
      <c r="Q131" s="18" t="n"/>
      <c r="R131" s="30" t="n"/>
      <c r="S131" s="22" t="n"/>
      <c r="T131" s="22" t="n"/>
      <c r="U131" s="22" t="n"/>
      <c r="V131" s="18" t="n"/>
      <c r="W131" s="18" t="n"/>
      <c r="X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30" t="n"/>
      <c r="J132" s="30" t="n"/>
      <c r="K132" s="30" t="n"/>
      <c r="L132" s="22" t="n"/>
      <c r="M132" s="22" t="n"/>
      <c r="N132" s="22" t="n"/>
      <c r="O132" s="31" t="n"/>
      <c r="P132" s="22" t="n"/>
      <c r="Q132" s="18" t="n"/>
      <c r="R132" s="30" t="n"/>
      <c r="S132" s="22" t="n"/>
      <c r="T132" s="22" t="n"/>
      <c r="U132" s="22" t="n"/>
      <c r="V132" s="18" t="n"/>
      <c r="W132" s="18" t="n"/>
      <c r="X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30" t="n"/>
      <c r="J133" s="30" t="n"/>
      <c r="K133" s="30" t="n"/>
      <c r="L133" s="22" t="n"/>
      <c r="M133" s="22" t="n"/>
      <c r="N133" s="22" t="n"/>
      <c r="O133" s="31" t="n"/>
      <c r="P133" s="22" t="n"/>
      <c r="Q133" s="18" t="n"/>
      <c r="R133" s="30" t="n"/>
      <c r="S133" s="22" t="n"/>
      <c r="T133" s="22" t="n"/>
      <c r="U133" s="22" t="n"/>
      <c r="V133" s="18" t="n"/>
      <c r="W133" s="18" t="n"/>
      <c r="X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30" t="n"/>
      <c r="J134" s="30" t="n"/>
      <c r="K134" s="30" t="n"/>
      <c r="L134" s="22" t="n"/>
      <c r="M134" s="22" t="n"/>
      <c r="N134" s="22" t="n"/>
      <c r="O134" s="31" t="n"/>
      <c r="P134" s="22" t="n"/>
      <c r="Q134" s="18" t="n"/>
      <c r="R134" s="30" t="n"/>
      <c r="S134" s="22" t="n"/>
      <c r="T134" s="22" t="n"/>
      <c r="U134" s="22" t="n"/>
      <c r="V134" s="18" t="n"/>
      <c r="W134" s="18" t="n"/>
      <c r="X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30" t="n"/>
      <c r="J135" s="30" t="n"/>
      <c r="K135" s="30" t="n"/>
      <c r="L135" s="22" t="n"/>
      <c r="M135" s="22" t="n"/>
      <c r="N135" s="22" t="n"/>
      <c r="O135" s="31" t="n"/>
      <c r="P135" s="22" t="n"/>
      <c r="Q135" s="18" t="n"/>
      <c r="R135" s="30" t="n"/>
      <c r="S135" s="22" t="n"/>
      <c r="T135" s="22" t="n"/>
      <c r="U135" s="22" t="n"/>
      <c r="V135" s="18" t="n"/>
      <c r="W135" s="18" t="n"/>
      <c r="X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30" t="n"/>
      <c r="J136" s="30" t="n"/>
      <c r="K136" s="30" t="n"/>
      <c r="L136" s="22" t="n"/>
      <c r="M136" s="22" t="n"/>
      <c r="N136" s="22" t="n"/>
      <c r="O136" s="31" t="n"/>
      <c r="P136" s="22" t="n"/>
      <c r="Q136" s="18" t="n"/>
      <c r="R136" s="30" t="n"/>
      <c r="S136" s="22" t="n"/>
      <c r="T136" s="22" t="n"/>
      <c r="U136" s="22" t="n"/>
      <c r="V136" s="18" t="n"/>
      <c r="W136" s="18" t="n"/>
      <c r="X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30" t="n"/>
      <c r="J137" s="30" t="n"/>
      <c r="K137" s="30" t="n"/>
      <c r="L137" s="22" t="n"/>
      <c r="M137" s="22" t="n"/>
      <c r="N137" s="22" t="n"/>
      <c r="O137" s="31" t="n"/>
      <c r="P137" s="22" t="n"/>
      <c r="Q137" s="18" t="n"/>
      <c r="R137" s="30" t="n"/>
      <c r="S137" s="22" t="n"/>
      <c r="T137" s="22" t="n"/>
      <c r="U137" s="22" t="n"/>
      <c r="V137" s="18" t="n"/>
      <c r="W137" s="18" t="n"/>
      <c r="X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30" t="n"/>
      <c r="J138" s="30" t="n"/>
      <c r="K138" s="30" t="n"/>
      <c r="L138" s="22" t="n"/>
      <c r="M138" s="22" t="n"/>
      <c r="N138" s="22" t="n"/>
      <c r="O138" s="31" t="n"/>
      <c r="P138" s="22" t="n"/>
      <c r="Q138" s="18" t="n"/>
      <c r="R138" s="30" t="n"/>
      <c r="S138" s="22" t="n"/>
      <c r="T138" s="22" t="n"/>
      <c r="U138" s="22" t="n"/>
      <c r="V138" s="18" t="n"/>
      <c r="W138" s="18" t="n"/>
      <c r="X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30" t="n"/>
      <c r="J139" s="30" t="n"/>
      <c r="K139" s="30" t="n"/>
      <c r="L139" s="22" t="n"/>
      <c r="M139" s="22" t="n"/>
      <c r="N139" s="22" t="n"/>
      <c r="O139" s="31" t="n"/>
      <c r="P139" s="22" t="n"/>
      <c r="Q139" s="18" t="n"/>
      <c r="R139" s="30" t="n"/>
      <c r="S139" s="22" t="n"/>
      <c r="T139" s="22" t="n"/>
      <c r="U139" s="22" t="n"/>
      <c r="V139" s="18" t="n"/>
      <c r="W139" s="18" t="n"/>
      <c r="X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30" t="n"/>
      <c r="J140" s="30" t="n"/>
      <c r="K140" s="30" t="n"/>
      <c r="L140" s="22" t="n"/>
      <c r="M140" s="22" t="n"/>
      <c r="N140" s="22" t="n"/>
      <c r="O140" s="31" t="n"/>
      <c r="P140" s="22" t="n"/>
      <c r="Q140" s="18" t="n"/>
      <c r="R140" s="30" t="n"/>
      <c r="S140" s="22" t="n"/>
      <c r="T140" s="22" t="n"/>
      <c r="U140" s="22" t="n"/>
      <c r="V140" s="18" t="n"/>
      <c r="W140" s="18" t="n"/>
      <c r="X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30" t="n"/>
      <c r="J141" s="30" t="n"/>
      <c r="K141" s="30" t="n"/>
      <c r="L141" s="22" t="n"/>
      <c r="M141" s="22" t="n"/>
      <c r="N141" s="22" t="n"/>
      <c r="O141" s="31" t="n"/>
      <c r="P141" s="22" t="n"/>
      <c r="Q141" s="18" t="n"/>
      <c r="R141" s="30" t="n"/>
      <c r="S141" s="22" t="n"/>
      <c r="T141" s="22" t="n"/>
      <c r="U141" s="22" t="n"/>
      <c r="V141" s="18" t="n"/>
      <c r="W141" s="18" t="n"/>
      <c r="X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30" t="n"/>
      <c r="J142" s="30" t="n"/>
      <c r="K142" s="30" t="n"/>
      <c r="L142" s="22" t="n"/>
      <c r="M142" s="22" t="n"/>
      <c r="N142" s="22" t="n"/>
      <c r="O142" s="31" t="n"/>
      <c r="P142" s="22" t="n"/>
      <c r="Q142" s="18" t="n"/>
      <c r="R142" s="30" t="n"/>
      <c r="S142" s="22" t="n"/>
      <c r="T142" s="22" t="n"/>
      <c r="U142" s="22" t="n"/>
      <c r="V142" s="18" t="n"/>
      <c r="W142" s="18" t="n"/>
      <c r="X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30" t="n"/>
      <c r="J143" s="30" t="n"/>
      <c r="K143" s="30" t="n"/>
      <c r="L143" s="22" t="n"/>
      <c r="M143" s="22" t="n"/>
      <c r="N143" s="22" t="n"/>
      <c r="O143" s="31" t="n"/>
      <c r="P143" s="22" t="n"/>
      <c r="Q143" s="18" t="n"/>
      <c r="R143" s="30" t="n"/>
      <c r="S143" s="22" t="n"/>
      <c r="T143" s="22" t="n"/>
      <c r="U143" s="22" t="n"/>
      <c r="V143" s="18" t="n"/>
      <c r="W143" s="18" t="n"/>
      <c r="X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30" t="n"/>
      <c r="J144" s="30" t="n"/>
      <c r="K144" s="30" t="n"/>
      <c r="L144" s="22" t="n"/>
      <c r="M144" s="22" t="n"/>
      <c r="N144" s="22" t="n"/>
      <c r="O144" s="31" t="n"/>
      <c r="P144" s="22" t="n"/>
      <c r="Q144" s="18" t="n"/>
      <c r="R144" s="30" t="n"/>
      <c r="S144" s="22" t="n"/>
      <c r="T144" s="22" t="n"/>
      <c r="U144" s="22" t="n"/>
      <c r="V144" s="18" t="n"/>
      <c r="W144" s="18" t="n"/>
      <c r="X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30" t="n"/>
      <c r="J145" s="30" t="n"/>
      <c r="K145" s="30" t="n"/>
      <c r="L145" s="22" t="n"/>
      <c r="M145" s="22" t="n"/>
      <c r="N145" s="22" t="n"/>
      <c r="O145" s="31" t="n"/>
      <c r="P145" s="22" t="n"/>
      <c r="Q145" s="18" t="n"/>
      <c r="R145" s="30" t="n"/>
      <c r="S145" s="22" t="n"/>
      <c r="T145" s="22" t="n"/>
      <c r="U145" s="22" t="n"/>
      <c r="V145" s="18" t="n"/>
      <c r="W145" s="18" t="n"/>
      <c r="X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30" t="n"/>
      <c r="J146" s="30" t="n"/>
      <c r="K146" s="30" t="n"/>
      <c r="L146" s="22" t="n"/>
      <c r="M146" s="22" t="n"/>
      <c r="N146" s="22" t="n"/>
      <c r="O146" s="31" t="n"/>
      <c r="P146" s="22" t="n"/>
      <c r="Q146" s="18" t="n"/>
      <c r="R146" s="30" t="n"/>
      <c r="S146" s="22" t="n"/>
      <c r="T146" s="22" t="n"/>
      <c r="U146" s="22" t="n"/>
      <c r="V146" s="18" t="n"/>
      <c r="W146" s="18" t="n"/>
      <c r="X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30" t="n"/>
      <c r="J147" s="30" t="n"/>
      <c r="K147" s="30" t="n"/>
      <c r="L147" s="22" t="n"/>
      <c r="M147" s="22" t="n"/>
      <c r="N147" s="22" t="n"/>
      <c r="O147" s="31" t="n"/>
      <c r="P147" s="22" t="n"/>
      <c r="Q147" s="18" t="n"/>
      <c r="R147" s="30" t="n"/>
      <c r="S147" s="22" t="n"/>
      <c r="T147" s="22" t="n"/>
      <c r="U147" s="22" t="n"/>
      <c r="V147" s="18" t="n"/>
      <c r="W147" s="18" t="n"/>
      <c r="X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30" t="n"/>
      <c r="J148" s="30" t="n"/>
      <c r="K148" s="30" t="n"/>
      <c r="L148" s="22" t="n"/>
      <c r="M148" s="22" t="n"/>
      <c r="N148" s="22" t="n"/>
      <c r="O148" s="31" t="n"/>
      <c r="P148" s="22" t="n"/>
      <c r="Q148" s="18" t="n"/>
      <c r="R148" s="30" t="n"/>
      <c r="S148" s="22" t="n"/>
      <c r="T148" s="22" t="n"/>
      <c r="U148" s="22" t="n"/>
      <c r="V148" s="18" t="n"/>
      <c r="W148" s="18" t="n"/>
      <c r="X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30" t="n"/>
      <c r="J149" s="30" t="n"/>
      <c r="K149" s="30" t="n"/>
      <c r="L149" s="22" t="n"/>
      <c r="M149" s="22" t="n"/>
      <c r="N149" s="22" t="n"/>
      <c r="O149" s="31" t="n"/>
      <c r="P149" s="22" t="n"/>
      <c r="Q149" s="18" t="n"/>
      <c r="R149" s="30" t="n"/>
      <c r="S149" s="22" t="n"/>
      <c r="T149" s="22" t="n"/>
      <c r="U149" s="22" t="n"/>
      <c r="V149" s="18" t="n"/>
      <c r="W149" s="18" t="n"/>
      <c r="X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30" t="n"/>
      <c r="J150" s="30" t="n"/>
      <c r="K150" s="30" t="n"/>
      <c r="L150" s="22" t="n"/>
      <c r="M150" s="22" t="n"/>
      <c r="N150" s="22" t="n"/>
      <c r="O150" s="31" t="n"/>
      <c r="P150" s="22" t="n"/>
      <c r="Q150" s="18" t="n"/>
      <c r="R150" s="30" t="n"/>
      <c r="S150" s="22" t="n"/>
      <c r="T150" s="22" t="n"/>
      <c r="U150" s="22" t="n"/>
      <c r="V150" s="18" t="n"/>
      <c r="W150" s="18" t="n"/>
      <c r="X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30" t="n"/>
      <c r="J151" s="30" t="n"/>
      <c r="K151" s="30" t="n"/>
      <c r="L151" s="22" t="n"/>
      <c r="M151" s="22" t="n"/>
      <c r="N151" s="22" t="n"/>
      <c r="O151" s="31" t="n"/>
      <c r="P151" s="22" t="n"/>
      <c r="Q151" s="18" t="n"/>
      <c r="R151" s="30" t="n"/>
      <c r="S151" s="22" t="n"/>
      <c r="T151" s="22" t="n"/>
      <c r="U151" s="22" t="n"/>
      <c r="V151" s="18" t="n"/>
      <c r="W151" s="18" t="n"/>
      <c r="X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30" t="n"/>
      <c r="J152" s="30" t="n"/>
      <c r="K152" s="30" t="n"/>
      <c r="L152" s="22" t="n"/>
      <c r="M152" s="22" t="n"/>
      <c r="N152" s="22" t="n"/>
      <c r="O152" s="31" t="n"/>
      <c r="P152" s="22" t="n"/>
      <c r="Q152" s="18" t="n"/>
      <c r="R152" s="30" t="n"/>
      <c r="S152" s="22" t="n"/>
      <c r="T152" s="22" t="n"/>
      <c r="U152" s="22" t="n"/>
      <c r="V152" s="18" t="n"/>
      <c r="W152" s="18" t="n"/>
      <c r="X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30" t="n"/>
      <c r="J153" s="30" t="n"/>
      <c r="K153" s="30" t="n"/>
      <c r="L153" s="22" t="n"/>
      <c r="M153" s="22" t="n"/>
      <c r="N153" s="22" t="n"/>
      <c r="O153" s="31" t="n"/>
      <c r="P153" s="22" t="n"/>
      <c r="Q153" s="18" t="n"/>
      <c r="R153" s="30" t="n"/>
      <c r="S153" s="22" t="n"/>
      <c r="T153" s="22" t="n"/>
      <c r="U153" s="22" t="n"/>
      <c r="V153" s="18" t="n"/>
      <c r="W153" s="18" t="n"/>
      <c r="X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30" t="n"/>
      <c r="J154" s="30" t="n"/>
      <c r="K154" s="30" t="n"/>
      <c r="L154" s="22" t="n"/>
      <c r="M154" s="22" t="n"/>
      <c r="N154" s="22" t="n"/>
      <c r="O154" s="31" t="n"/>
      <c r="P154" s="22" t="n"/>
      <c r="Q154" s="18" t="n"/>
      <c r="R154" s="30" t="n"/>
      <c r="S154" s="22" t="n"/>
      <c r="T154" s="22" t="n"/>
      <c r="U154" s="22" t="n"/>
      <c r="V154" s="18" t="n"/>
      <c r="W154" s="18" t="n"/>
      <c r="X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30" t="n"/>
      <c r="J155" s="30" t="n"/>
      <c r="K155" s="30" t="n"/>
      <c r="L155" s="22" t="n"/>
      <c r="M155" s="22" t="n"/>
      <c r="N155" s="22" t="n"/>
      <c r="O155" s="31" t="n"/>
      <c r="P155" s="22" t="n"/>
      <c r="Q155" s="18" t="n"/>
      <c r="R155" s="30" t="n"/>
      <c r="S155" s="22" t="n"/>
      <c r="T155" s="22" t="n"/>
      <c r="U155" s="22" t="n"/>
      <c r="V155" s="18" t="n"/>
      <c r="W155" s="18" t="n"/>
      <c r="X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30" t="n"/>
      <c r="J156" s="30" t="n"/>
      <c r="K156" s="30" t="n"/>
      <c r="L156" s="22" t="n"/>
      <c r="M156" s="22" t="n"/>
      <c r="N156" s="22" t="n"/>
      <c r="O156" s="31" t="n"/>
      <c r="P156" s="22" t="n"/>
      <c r="Q156" s="18" t="n"/>
      <c r="R156" s="30" t="n"/>
      <c r="S156" s="22" t="n"/>
      <c r="T156" s="22" t="n"/>
      <c r="U156" s="22" t="n"/>
      <c r="V156" s="18" t="n"/>
      <c r="W156" s="18" t="n"/>
      <c r="X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30" t="n"/>
      <c r="J157" s="30" t="n"/>
      <c r="K157" s="30" t="n"/>
      <c r="L157" s="22" t="n"/>
      <c r="M157" s="22" t="n"/>
      <c r="N157" s="22" t="n"/>
      <c r="O157" s="31" t="n"/>
      <c r="P157" s="22" t="n"/>
      <c r="Q157" s="18" t="n"/>
      <c r="R157" s="30" t="n"/>
      <c r="S157" s="22" t="n"/>
      <c r="T157" s="22" t="n"/>
      <c r="U157" s="22" t="n"/>
      <c r="V157" s="18" t="n"/>
      <c r="W157" s="18" t="n"/>
      <c r="X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30" t="n"/>
      <c r="J158" s="30" t="n"/>
      <c r="K158" s="30" t="n"/>
      <c r="L158" s="22" t="n"/>
      <c r="M158" s="22" t="n"/>
      <c r="N158" s="22" t="n"/>
      <c r="O158" s="31" t="n"/>
      <c r="P158" s="22" t="n"/>
      <c r="Q158" s="18" t="n"/>
      <c r="R158" s="30" t="n"/>
      <c r="S158" s="22" t="n"/>
      <c r="T158" s="22" t="n"/>
      <c r="U158" s="22" t="n"/>
      <c r="V158" s="18" t="n"/>
      <c r="W158" s="18" t="n"/>
      <c r="X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30" t="n"/>
      <c r="J159" s="30" t="n"/>
      <c r="K159" s="30" t="n"/>
      <c r="L159" s="22" t="n"/>
      <c r="M159" s="22" t="n"/>
      <c r="N159" s="22" t="n"/>
      <c r="O159" s="31" t="n"/>
      <c r="P159" s="22" t="n"/>
      <c r="Q159" s="18" t="n"/>
      <c r="R159" s="30" t="n"/>
      <c r="S159" s="22" t="n"/>
      <c r="T159" s="22" t="n"/>
      <c r="U159" s="22" t="n"/>
      <c r="V159" s="18" t="n"/>
      <c r="W159" s="18" t="n"/>
      <c r="X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30" t="n"/>
      <c r="J160" s="30" t="n"/>
      <c r="K160" s="30" t="n"/>
      <c r="L160" s="22" t="n"/>
      <c r="M160" s="22" t="n"/>
      <c r="N160" s="22" t="n"/>
      <c r="O160" s="31" t="n"/>
      <c r="P160" s="22" t="n"/>
      <c r="Q160" s="18" t="n"/>
      <c r="R160" s="30" t="n"/>
      <c r="S160" s="22" t="n"/>
      <c r="T160" s="22" t="n"/>
      <c r="U160" s="22" t="n"/>
      <c r="V160" s="18" t="n"/>
      <c r="W160" s="18" t="n"/>
      <c r="X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30" t="n"/>
      <c r="J161" s="30" t="n"/>
      <c r="K161" s="30" t="n"/>
      <c r="L161" s="22" t="n"/>
      <c r="M161" s="22" t="n"/>
      <c r="N161" s="22" t="n"/>
      <c r="O161" s="31" t="n"/>
      <c r="P161" s="22" t="n"/>
      <c r="Q161" s="18" t="n"/>
      <c r="R161" s="30" t="n"/>
      <c r="S161" s="22" t="n"/>
      <c r="T161" s="22" t="n"/>
      <c r="U161" s="22" t="n"/>
      <c r="V161" s="18" t="n"/>
      <c r="W161" s="18" t="n"/>
      <c r="X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30" t="n"/>
      <c r="J162" s="30" t="n"/>
      <c r="K162" s="30" t="n"/>
      <c r="L162" s="22" t="n"/>
      <c r="M162" s="22" t="n"/>
      <c r="N162" s="22" t="n"/>
      <c r="O162" s="31" t="n"/>
      <c r="P162" s="22" t="n"/>
      <c r="Q162" s="18" t="n"/>
      <c r="R162" s="30" t="n"/>
      <c r="S162" s="22" t="n"/>
      <c r="T162" s="22" t="n"/>
      <c r="U162" s="22" t="n"/>
      <c r="V162" s="18" t="n"/>
      <c r="W162" s="18" t="n"/>
      <c r="X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30" t="n"/>
      <c r="J163" s="30" t="n"/>
      <c r="K163" s="30" t="n"/>
      <c r="L163" s="22" t="n"/>
      <c r="M163" s="22" t="n"/>
      <c r="N163" s="22" t="n"/>
      <c r="O163" s="31" t="n"/>
      <c r="P163" s="22" t="n"/>
      <c r="Q163" s="18" t="n"/>
      <c r="R163" s="30" t="n"/>
      <c r="S163" s="22" t="n"/>
      <c r="T163" s="22" t="n"/>
      <c r="U163" s="22" t="n"/>
      <c r="V163" s="18" t="n"/>
      <c r="W163" s="18" t="n"/>
      <c r="X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30" t="n"/>
      <c r="J164" s="30" t="n"/>
      <c r="K164" s="30" t="n"/>
      <c r="L164" s="22" t="n"/>
      <c r="M164" s="22" t="n"/>
      <c r="N164" s="22" t="n"/>
      <c r="O164" s="31" t="n"/>
      <c r="P164" s="22" t="n"/>
      <c r="Q164" s="18" t="n"/>
      <c r="R164" s="30" t="n"/>
      <c r="S164" s="22" t="n"/>
      <c r="T164" s="22" t="n"/>
      <c r="U164" s="22" t="n"/>
      <c r="V164" s="18" t="n"/>
      <c r="W164" s="18" t="n"/>
      <c r="X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30" t="n"/>
      <c r="J165" s="30" t="n"/>
      <c r="K165" s="30" t="n"/>
      <c r="L165" s="22" t="n"/>
      <c r="M165" s="22" t="n"/>
      <c r="N165" s="22" t="n"/>
      <c r="O165" s="31" t="n"/>
      <c r="P165" s="22" t="n"/>
      <c r="Q165" s="18" t="n"/>
      <c r="R165" s="30" t="n"/>
      <c r="S165" s="22" t="n"/>
      <c r="T165" s="22" t="n"/>
      <c r="U165" s="22" t="n"/>
      <c r="V165" s="18" t="n"/>
      <c r="W165" s="18" t="n"/>
      <c r="X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30" t="n"/>
      <c r="J166" s="30" t="n"/>
      <c r="K166" s="30" t="n"/>
      <c r="L166" s="22" t="n"/>
      <c r="M166" s="22" t="n"/>
      <c r="N166" s="22" t="n"/>
      <c r="O166" s="31" t="n"/>
      <c r="P166" s="22" t="n"/>
      <c r="Q166" s="18" t="n"/>
      <c r="R166" s="30" t="n"/>
      <c r="S166" s="22" t="n"/>
      <c r="T166" s="22" t="n"/>
      <c r="U166" s="22" t="n"/>
      <c r="V166" s="18" t="n"/>
      <c r="W166" s="18" t="n"/>
      <c r="X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30" t="n"/>
      <c r="J167" s="30" t="n"/>
      <c r="K167" s="30" t="n"/>
      <c r="L167" s="22" t="n"/>
      <c r="M167" s="22" t="n"/>
      <c r="N167" s="22" t="n"/>
      <c r="O167" s="31" t="n"/>
      <c r="P167" s="22" t="n"/>
      <c r="Q167" s="18" t="n"/>
      <c r="R167" s="30" t="n"/>
      <c r="S167" s="22" t="n"/>
      <c r="T167" s="22" t="n"/>
      <c r="U167" s="22" t="n"/>
      <c r="V167" s="18" t="n"/>
      <c r="W167" s="18" t="n"/>
      <c r="X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30" t="n"/>
      <c r="J168" s="30" t="n"/>
      <c r="K168" s="30" t="n"/>
      <c r="L168" s="22" t="n"/>
      <c r="M168" s="22" t="n"/>
      <c r="N168" s="22" t="n"/>
      <c r="O168" s="31" t="n"/>
      <c r="P168" s="22" t="n"/>
      <c r="Q168" s="18" t="n"/>
      <c r="R168" s="30" t="n"/>
      <c r="S168" s="22" t="n"/>
      <c r="T168" s="22" t="n"/>
      <c r="U168" s="22" t="n"/>
      <c r="V168" s="18" t="n"/>
      <c r="W168" s="18" t="n"/>
      <c r="X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30" t="n"/>
      <c r="J169" s="30" t="n"/>
      <c r="K169" s="30" t="n"/>
      <c r="L169" s="22" t="n"/>
      <c r="M169" s="22" t="n"/>
      <c r="N169" s="22" t="n"/>
      <c r="O169" s="31" t="n"/>
      <c r="P169" s="22" t="n"/>
      <c r="Q169" s="18" t="n"/>
      <c r="R169" s="30" t="n"/>
      <c r="S169" s="22" t="n"/>
      <c r="T169" s="22" t="n"/>
      <c r="U169" s="22" t="n"/>
      <c r="V169" s="18" t="n"/>
      <c r="W169" s="18" t="n"/>
      <c r="X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30" t="n"/>
      <c r="J170" s="30" t="n"/>
      <c r="K170" s="30" t="n"/>
      <c r="L170" s="22" t="n"/>
      <c r="M170" s="22" t="n"/>
      <c r="N170" s="22" t="n"/>
      <c r="O170" s="31" t="n"/>
      <c r="P170" s="22" t="n"/>
      <c r="Q170" s="18" t="n"/>
      <c r="R170" s="30" t="n"/>
      <c r="S170" s="22" t="n"/>
      <c r="T170" s="22" t="n"/>
      <c r="U170" s="22" t="n"/>
      <c r="V170" s="18" t="n"/>
      <c r="W170" s="18" t="n"/>
      <c r="X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30" t="n"/>
      <c r="J171" s="30" t="n"/>
      <c r="K171" s="30" t="n"/>
      <c r="L171" s="22" t="n"/>
      <c r="M171" s="22" t="n"/>
      <c r="N171" s="22" t="n"/>
      <c r="O171" s="31" t="n"/>
      <c r="P171" s="22" t="n"/>
      <c r="Q171" s="18" t="n"/>
      <c r="R171" s="30" t="n"/>
      <c r="S171" s="22" t="n"/>
      <c r="T171" s="22" t="n"/>
      <c r="U171" s="22" t="n"/>
      <c r="V171" s="18" t="n"/>
      <c r="W171" s="18" t="n"/>
      <c r="X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30" t="n"/>
      <c r="J172" s="30" t="n"/>
      <c r="K172" s="30" t="n"/>
      <c r="L172" s="22" t="n"/>
      <c r="M172" s="22" t="n"/>
      <c r="N172" s="22" t="n"/>
      <c r="O172" s="31" t="n"/>
      <c r="P172" s="22" t="n"/>
      <c r="Q172" s="18" t="n"/>
      <c r="R172" s="30" t="n"/>
      <c r="S172" s="22" t="n"/>
      <c r="T172" s="22" t="n"/>
      <c r="U172" s="22" t="n"/>
      <c r="V172" s="18" t="n"/>
      <c r="W172" s="18" t="n"/>
      <c r="X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30" t="n"/>
      <c r="J173" s="30" t="n"/>
      <c r="K173" s="30" t="n"/>
      <c r="L173" s="22" t="n"/>
      <c r="M173" s="22" t="n"/>
      <c r="N173" s="22" t="n"/>
      <c r="O173" s="31" t="n"/>
      <c r="P173" s="22" t="n"/>
      <c r="Q173" s="18" t="n"/>
      <c r="R173" s="30" t="n"/>
      <c r="S173" s="22" t="n"/>
      <c r="T173" s="22" t="n"/>
      <c r="U173" s="22" t="n"/>
      <c r="V173" s="18" t="n"/>
      <c r="W173" s="18" t="n"/>
      <c r="X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30" t="n"/>
      <c r="J174" s="30" t="n"/>
      <c r="K174" s="30" t="n"/>
      <c r="L174" s="22" t="n"/>
      <c r="M174" s="22" t="n"/>
      <c r="N174" s="22" t="n"/>
      <c r="O174" s="31" t="n"/>
      <c r="P174" s="22" t="n"/>
      <c r="Q174" s="18" t="n"/>
      <c r="R174" s="30" t="n"/>
      <c r="S174" s="22" t="n"/>
      <c r="T174" s="22" t="n"/>
      <c r="U174" s="22" t="n"/>
      <c r="V174" s="18" t="n"/>
      <c r="W174" s="18" t="n"/>
      <c r="X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30" t="n"/>
      <c r="J175" s="30" t="n"/>
      <c r="K175" s="30" t="n"/>
      <c r="L175" s="22" t="n"/>
      <c r="M175" s="22" t="n"/>
      <c r="N175" s="22" t="n"/>
      <c r="O175" s="31" t="n"/>
      <c r="P175" s="22" t="n"/>
      <c r="Q175" s="18" t="n"/>
      <c r="R175" s="30" t="n"/>
      <c r="S175" s="22" t="n"/>
      <c r="T175" s="22" t="n"/>
      <c r="U175" s="22" t="n"/>
      <c r="V175" s="18" t="n"/>
      <c r="W175" s="18" t="n"/>
      <c r="X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30" t="n"/>
      <c r="J176" s="30" t="n"/>
      <c r="K176" s="30" t="n"/>
      <c r="L176" s="22" t="n"/>
      <c r="M176" s="22" t="n"/>
      <c r="N176" s="22" t="n"/>
      <c r="O176" s="31" t="n"/>
      <c r="P176" s="22" t="n"/>
      <c r="Q176" s="18" t="n"/>
      <c r="R176" s="30" t="n"/>
      <c r="S176" s="22" t="n"/>
      <c r="T176" s="22" t="n"/>
      <c r="U176" s="22" t="n"/>
      <c r="V176" s="18" t="n"/>
      <c r="W176" s="18" t="n"/>
      <c r="X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30" t="n"/>
      <c r="J177" s="30" t="n"/>
      <c r="K177" s="30" t="n"/>
      <c r="L177" s="22" t="n"/>
      <c r="M177" s="22" t="n"/>
      <c r="N177" s="22" t="n"/>
      <c r="O177" s="31" t="n"/>
      <c r="P177" s="22" t="n"/>
      <c r="Q177" s="18" t="n"/>
      <c r="R177" s="30" t="n"/>
      <c r="S177" s="22" t="n"/>
      <c r="T177" s="22" t="n"/>
      <c r="U177" s="22" t="n"/>
      <c r="V177" s="18" t="n"/>
      <c r="W177" s="18" t="n"/>
      <c r="X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30" t="n"/>
      <c r="J178" s="30" t="n"/>
      <c r="K178" s="30" t="n"/>
      <c r="L178" s="22" t="n"/>
      <c r="M178" s="22" t="n"/>
      <c r="N178" s="22" t="n"/>
      <c r="O178" s="31" t="n"/>
      <c r="P178" s="22" t="n"/>
      <c r="Q178" s="18" t="n"/>
      <c r="R178" s="30" t="n"/>
      <c r="S178" s="22" t="n"/>
      <c r="T178" s="22" t="n"/>
      <c r="U178" s="22" t="n"/>
      <c r="V178" s="18" t="n"/>
      <c r="W178" s="18" t="n"/>
      <c r="X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30" t="n"/>
      <c r="J179" s="30" t="n"/>
      <c r="K179" s="30" t="n"/>
      <c r="L179" s="22" t="n"/>
      <c r="M179" s="22" t="n"/>
      <c r="N179" s="22" t="n"/>
      <c r="O179" s="31" t="n"/>
      <c r="P179" s="22" t="n"/>
      <c r="Q179" s="18" t="n"/>
      <c r="R179" s="30" t="n"/>
      <c r="S179" s="22" t="n"/>
      <c r="T179" s="22" t="n"/>
      <c r="U179" s="22" t="n"/>
      <c r="V179" s="18" t="n"/>
      <c r="W179" s="18" t="n"/>
      <c r="X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30" t="n"/>
      <c r="J180" s="30" t="n"/>
      <c r="K180" s="30" t="n"/>
      <c r="L180" s="22" t="n"/>
      <c r="M180" s="22" t="n"/>
      <c r="N180" s="22" t="n"/>
      <c r="O180" s="31" t="n"/>
      <c r="P180" s="22" t="n"/>
      <c r="Q180" s="18" t="n"/>
      <c r="R180" s="30" t="n"/>
      <c r="S180" s="22" t="n"/>
      <c r="T180" s="22" t="n"/>
      <c r="U180" s="22" t="n"/>
      <c r="V180" s="18" t="n"/>
      <c r="W180" s="18" t="n"/>
      <c r="X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30" t="n"/>
      <c r="J181" s="30" t="n"/>
      <c r="K181" s="30" t="n"/>
      <c r="L181" s="22" t="n"/>
      <c r="M181" s="22" t="n"/>
      <c r="N181" s="22" t="n"/>
      <c r="O181" s="31" t="n"/>
      <c r="P181" s="22" t="n"/>
      <c r="Q181" s="18" t="n"/>
      <c r="R181" s="30" t="n"/>
      <c r="S181" s="22" t="n"/>
      <c r="T181" s="22" t="n"/>
      <c r="U181" s="22" t="n"/>
      <c r="V181" s="18" t="n"/>
      <c r="W181" s="18" t="n"/>
      <c r="X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30" t="n"/>
      <c r="J182" s="30" t="n"/>
      <c r="K182" s="30" t="n"/>
      <c r="L182" s="22" t="n"/>
      <c r="M182" s="22" t="n"/>
      <c r="N182" s="22" t="n"/>
      <c r="O182" s="31" t="n"/>
      <c r="P182" s="22" t="n"/>
      <c r="Q182" s="18" t="n"/>
      <c r="R182" s="30" t="n"/>
      <c r="S182" s="22" t="n"/>
      <c r="T182" s="22" t="n"/>
      <c r="U182" s="22" t="n"/>
      <c r="V182" s="18" t="n"/>
      <c r="W182" s="18" t="n"/>
      <c r="X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30" t="n"/>
      <c r="J183" s="30" t="n"/>
      <c r="K183" s="30" t="n"/>
      <c r="L183" s="22" t="n"/>
      <c r="M183" s="22" t="n"/>
      <c r="N183" s="22" t="n"/>
      <c r="O183" s="31" t="n"/>
      <c r="P183" s="22" t="n"/>
      <c r="Q183" s="18" t="n"/>
      <c r="R183" s="30" t="n"/>
      <c r="S183" s="22" t="n"/>
      <c r="T183" s="22" t="n"/>
      <c r="U183" s="22" t="n"/>
      <c r="V183" s="18" t="n"/>
      <c r="W183" s="18" t="n"/>
      <c r="X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30" t="n"/>
      <c r="J184" s="30" t="n"/>
      <c r="K184" s="30" t="n"/>
      <c r="L184" s="22" t="n"/>
      <c r="M184" s="22" t="n"/>
      <c r="N184" s="22" t="n"/>
      <c r="O184" s="31" t="n"/>
      <c r="P184" s="22" t="n"/>
      <c r="Q184" s="18" t="n"/>
      <c r="R184" s="30" t="n"/>
      <c r="S184" s="22" t="n"/>
      <c r="T184" s="22" t="n"/>
      <c r="U184" s="22" t="n"/>
      <c r="V184" s="18" t="n"/>
      <c r="W184" s="18" t="n"/>
      <c r="X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30" t="n"/>
      <c r="J185" s="30" t="n"/>
      <c r="K185" s="30" t="n"/>
      <c r="L185" s="22" t="n"/>
      <c r="M185" s="22" t="n"/>
      <c r="N185" s="22" t="n"/>
      <c r="O185" s="31" t="n"/>
      <c r="P185" s="22" t="n"/>
      <c r="Q185" s="18" t="n"/>
      <c r="R185" s="30" t="n"/>
      <c r="S185" s="22" t="n"/>
      <c r="T185" s="22" t="n"/>
      <c r="U185" s="22" t="n"/>
      <c r="V185" s="18" t="n"/>
      <c r="W185" s="18" t="n"/>
      <c r="X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30" t="n"/>
      <c r="J186" s="30" t="n"/>
      <c r="K186" s="30" t="n"/>
      <c r="L186" s="22" t="n"/>
      <c r="M186" s="22" t="n"/>
      <c r="N186" s="22" t="n"/>
      <c r="O186" s="31" t="n"/>
      <c r="P186" s="22" t="n"/>
      <c r="Q186" s="18" t="n"/>
      <c r="R186" s="30" t="n"/>
      <c r="S186" s="22" t="n"/>
      <c r="T186" s="22" t="n"/>
      <c r="U186" s="22" t="n"/>
      <c r="V186" s="18" t="n"/>
      <c r="W186" s="18" t="n"/>
      <c r="X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30" t="n"/>
      <c r="J187" s="30" t="n"/>
      <c r="K187" s="30" t="n"/>
      <c r="L187" s="22" t="n"/>
      <c r="M187" s="22" t="n"/>
      <c r="N187" s="22" t="n"/>
      <c r="O187" s="31" t="n"/>
      <c r="P187" s="22" t="n"/>
      <c r="Q187" s="18" t="n"/>
      <c r="R187" s="30" t="n"/>
      <c r="S187" s="22" t="n"/>
      <c r="T187" s="22" t="n"/>
      <c r="U187" s="22" t="n"/>
      <c r="V187" s="18" t="n"/>
      <c r="W187" s="18" t="n"/>
      <c r="X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30" t="n"/>
      <c r="J188" s="30" t="n"/>
      <c r="K188" s="30" t="n"/>
      <c r="L188" s="22" t="n"/>
      <c r="M188" s="22" t="n"/>
      <c r="N188" s="22" t="n"/>
      <c r="O188" s="31" t="n"/>
      <c r="P188" s="22" t="n"/>
      <c r="Q188" s="18" t="n"/>
      <c r="R188" s="30" t="n"/>
      <c r="S188" s="22" t="n"/>
      <c r="T188" s="22" t="n"/>
      <c r="U188" s="22" t="n"/>
      <c r="V188" s="18" t="n"/>
      <c r="W188" s="18" t="n"/>
      <c r="X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30" t="n"/>
      <c r="J189" s="30" t="n"/>
      <c r="K189" s="30" t="n"/>
      <c r="L189" s="22" t="n"/>
      <c r="M189" s="22" t="n"/>
      <c r="N189" s="22" t="n"/>
      <c r="O189" s="31" t="n"/>
      <c r="P189" s="22" t="n"/>
      <c r="Q189" s="18" t="n"/>
      <c r="R189" s="30" t="n"/>
      <c r="S189" s="22" t="n"/>
      <c r="T189" s="22" t="n"/>
      <c r="U189" s="22" t="n"/>
      <c r="V189" s="18" t="n"/>
      <c r="W189" s="18" t="n"/>
      <c r="X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30" t="n"/>
      <c r="J190" s="30" t="n"/>
      <c r="K190" s="30" t="n"/>
      <c r="L190" s="22" t="n"/>
      <c r="M190" s="22" t="n"/>
      <c r="N190" s="22" t="n"/>
      <c r="O190" s="31" t="n"/>
      <c r="P190" s="22" t="n"/>
      <c r="Q190" s="18" t="n"/>
      <c r="R190" s="30" t="n"/>
      <c r="S190" s="22" t="n"/>
      <c r="T190" s="22" t="n"/>
      <c r="U190" s="22" t="n"/>
      <c r="V190" s="18" t="n"/>
      <c r="W190" s="18" t="n"/>
      <c r="X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30" t="n"/>
      <c r="J191" s="30" t="n"/>
      <c r="K191" s="30" t="n"/>
      <c r="L191" s="22" t="n"/>
      <c r="M191" s="22" t="n"/>
      <c r="N191" s="22" t="n"/>
      <c r="O191" s="31" t="n"/>
      <c r="P191" s="22" t="n"/>
      <c r="Q191" s="18" t="n"/>
      <c r="R191" s="30" t="n"/>
      <c r="S191" s="22" t="n"/>
      <c r="T191" s="22" t="n"/>
      <c r="U191" s="22" t="n"/>
      <c r="V191" s="18" t="n"/>
      <c r="W191" s="18" t="n"/>
      <c r="X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30" t="n"/>
      <c r="J192" s="30" t="n"/>
      <c r="K192" s="30" t="n"/>
      <c r="L192" s="22" t="n"/>
      <c r="M192" s="22" t="n"/>
      <c r="N192" s="22" t="n"/>
      <c r="O192" s="31" t="n"/>
      <c r="P192" s="22" t="n"/>
      <c r="Q192" s="18" t="n"/>
      <c r="R192" s="30" t="n"/>
      <c r="S192" s="22" t="n"/>
      <c r="T192" s="22" t="n"/>
      <c r="U192" s="22" t="n"/>
      <c r="V192" s="18" t="n"/>
      <c r="W192" s="18" t="n"/>
      <c r="X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30" t="n"/>
      <c r="J193" s="30" t="n"/>
      <c r="K193" s="30" t="n"/>
      <c r="L193" s="22" t="n"/>
      <c r="M193" s="22" t="n"/>
      <c r="N193" s="22" t="n"/>
      <c r="O193" s="31" t="n"/>
      <c r="P193" s="22" t="n"/>
      <c r="Q193" s="18" t="n"/>
      <c r="R193" s="30" t="n"/>
      <c r="S193" s="22" t="n"/>
      <c r="T193" s="22" t="n"/>
      <c r="U193" s="22" t="n"/>
      <c r="V193" s="18" t="n"/>
      <c r="W193" s="18" t="n"/>
      <c r="X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30" t="n"/>
      <c r="J194" s="30" t="n"/>
      <c r="K194" s="30" t="n"/>
      <c r="L194" s="22" t="n"/>
      <c r="M194" s="22" t="n"/>
      <c r="N194" s="22" t="n"/>
      <c r="O194" s="31" t="n"/>
      <c r="P194" s="22" t="n"/>
      <c r="Q194" s="18" t="n"/>
      <c r="R194" s="30" t="n"/>
      <c r="S194" s="22" t="n"/>
      <c r="T194" s="22" t="n"/>
      <c r="U194" s="22" t="n"/>
      <c r="V194" s="18" t="n"/>
      <c r="W194" s="18" t="n"/>
      <c r="X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30" t="n"/>
      <c r="J195" s="30" t="n"/>
      <c r="K195" s="30" t="n"/>
      <c r="L195" s="22" t="n"/>
      <c r="M195" s="22" t="n"/>
      <c r="N195" s="22" t="n"/>
      <c r="O195" s="31" t="n"/>
      <c r="P195" s="22" t="n"/>
      <c r="Q195" s="18" t="n"/>
      <c r="R195" s="30" t="n"/>
      <c r="S195" s="22" t="n"/>
      <c r="T195" s="22" t="n"/>
      <c r="U195" s="22" t="n"/>
      <c r="V195" s="18" t="n"/>
      <c r="W195" s="18" t="n"/>
      <c r="X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30" t="n"/>
      <c r="J196" s="30" t="n"/>
      <c r="K196" s="30" t="n"/>
      <c r="L196" s="22" t="n"/>
      <c r="M196" s="22" t="n"/>
      <c r="N196" s="22" t="n"/>
      <c r="O196" s="31" t="n"/>
      <c r="P196" s="22" t="n"/>
      <c r="Q196" s="18" t="n"/>
      <c r="R196" s="30" t="n"/>
      <c r="S196" s="22" t="n"/>
      <c r="T196" s="22" t="n"/>
      <c r="U196" s="22" t="n"/>
      <c r="V196" s="18" t="n"/>
      <c r="W196" s="18" t="n"/>
      <c r="X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30" t="n"/>
      <c r="J197" s="30" t="n"/>
      <c r="K197" s="30" t="n"/>
      <c r="L197" s="22" t="n"/>
      <c r="M197" s="22" t="n"/>
      <c r="N197" s="22" t="n"/>
      <c r="O197" s="31" t="n"/>
      <c r="P197" s="22" t="n"/>
      <c r="Q197" s="18" t="n"/>
      <c r="R197" s="30" t="n"/>
      <c r="S197" s="22" t="n"/>
      <c r="T197" s="22" t="n"/>
      <c r="U197" s="22" t="n"/>
      <c r="V197" s="18" t="n"/>
      <c r="W197" s="18" t="n"/>
      <c r="X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30" t="n"/>
      <c r="J198" s="30" t="n"/>
      <c r="K198" s="30" t="n"/>
      <c r="L198" s="22" t="n"/>
      <c r="M198" s="22" t="n"/>
      <c r="N198" s="22" t="n"/>
      <c r="O198" s="31" t="n"/>
      <c r="P198" s="22" t="n"/>
      <c r="Q198" s="18" t="n"/>
      <c r="R198" s="30" t="n"/>
      <c r="S198" s="22" t="n"/>
      <c r="T198" s="22" t="n"/>
      <c r="U198" s="22" t="n"/>
      <c r="V198" s="18" t="n"/>
      <c r="W198" s="18" t="n"/>
      <c r="X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30" t="n"/>
      <c r="J199" s="30" t="n"/>
      <c r="K199" s="30" t="n"/>
      <c r="L199" s="22" t="n"/>
      <c r="M199" s="22" t="n"/>
      <c r="N199" s="22" t="n"/>
      <c r="O199" s="31" t="n"/>
      <c r="P199" s="22" t="n"/>
      <c r="Q199" s="18" t="n"/>
      <c r="R199" s="30" t="n"/>
      <c r="S199" s="22" t="n"/>
      <c r="T199" s="22" t="n"/>
      <c r="U199" s="22" t="n"/>
      <c r="V199" s="18" t="n"/>
      <c r="W199" s="18" t="n"/>
      <c r="X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30" t="n"/>
      <c r="J200" s="30" t="n"/>
      <c r="K200" s="30" t="n"/>
      <c r="L200" s="22" t="n"/>
      <c r="M200" s="22" t="n"/>
      <c r="N200" s="22" t="n"/>
      <c r="O200" s="31" t="n"/>
      <c r="P200" s="22" t="n"/>
      <c r="Q200" s="18" t="n"/>
      <c r="R200" s="30" t="n"/>
      <c r="S200" s="22" t="n"/>
      <c r="T200" s="22" t="n"/>
      <c r="U200" s="22" t="n"/>
      <c r="V200" s="18" t="n"/>
      <c r="W200" s="18" t="n"/>
      <c r="X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30" t="n"/>
      <c r="J201" s="30" t="n"/>
      <c r="K201" s="30" t="n"/>
      <c r="L201" s="22" t="n"/>
      <c r="M201" s="22" t="n"/>
      <c r="N201" s="22" t="n"/>
      <c r="O201" s="31" t="n"/>
      <c r="P201" s="22" t="n"/>
      <c r="Q201" s="18" t="n"/>
      <c r="R201" s="30" t="n"/>
      <c r="S201" s="22" t="n"/>
      <c r="T201" s="22" t="n"/>
      <c r="U201" s="22" t="n"/>
      <c r="V201" s="18" t="n"/>
      <c r="W201" s="18" t="n"/>
      <c r="X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30" t="n"/>
      <c r="J202" s="30" t="n"/>
      <c r="K202" s="30" t="n"/>
      <c r="L202" s="22" t="n"/>
      <c r="M202" s="22" t="n"/>
      <c r="N202" s="22" t="n"/>
      <c r="O202" s="31" t="n"/>
      <c r="P202" s="22" t="n"/>
      <c r="Q202" s="18" t="n"/>
      <c r="R202" s="30" t="n"/>
      <c r="S202" s="22" t="n"/>
      <c r="T202" s="22" t="n"/>
      <c r="U202" s="22" t="n"/>
      <c r="V202" s="18" t="n"/>
      <c r="W202" s="18" t="n"/>
      <c r="X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30" t="n"/>
      <c r="J203" s="30" t="n"/>
      <c r="K203" s="30" t="n"/>
      <c r="L203" s="22" t="n"/>
      <c r="M203" s="22" t="n"/>
      <c r="N203" s="22" t="n"/>
      <c r="O203" s="31" t="n"/>
      <c r="P203" s="22" t="n"/>
      <c r="Q203" s="18" t="n"/>
      <c r="R203" s="30" t="n"/>
      <c r="S203" s="22" t="n"/>
      <c r="T203" s="22" t="n"/>
      <c r="U203" s="22" t="n"/>
      <c r="V203" s="18" t="n"/>
      <c r="W203" s="18" t="n"/>
      <c r="X203" s="18" t="n"/>
    </row>
  </sheetData>
  <mergeCells count="2">
    <mergeCell ref="C2:X2"/>
    <mergeCell ref="A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6000"/>
    <outlinePr summaryBelow="1" summaryRight="1"/>
    <pageSetUpPr/>
  </sheetPr>
  <dimension ref="A1:AL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3" customWidth="1" min="4" max="4"/>
    <col width="13" customWidth="1" min="5" max="5"/>
    <col width="20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3" customWidth="1" min="13" max="13"/>
    <col width="14" customWidth="1" min="14" max="14"/>
    <col width="10" customWidth="1" min="15" max="15"/>
    <col width="13" customWidth="1" min="16" max="16"/>
    <col width="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26" customWidth="1" min="23" max="23"/>
    <col width="24" customWidth="1" min="24" max="24"/>
    <col width="11" customWidth="1" min="27" max="27"/>
    <col width="14" customWidth="1" min="28" max="28"/>
    <col width="11" customWidth="1" min="29" max="29"/>
    <col width="14" customWidth="1" min="30" max="30"/>
    <col width="11" customWidth="1" min="31" max="31"/>
    <col width="14" customWidth="1" min="32" max="32"/>
    <col width="11" customWidth="1" min="33" max="33"/>
    <col width="14" customWidth="1" min="34" max="34"/>
    <col width="11" customWidth="1" min="35" max="35"/>
    <col width="14" customWidth="1" min="36" max="36"/>
    <col width="11" customWidth="1" min="37" max="37"/>
    <col width="14" customWidth="1" min="38" max="38"/>
  </cols>
  <sheetData>
    <row r="1" ht="30" customHeight="1">
      <c r="A1" s="9" t="inlineStr">
        <is>
          <t>【明道典当】明细 · 自动从表2拆出来，不用填</t>
        </is>
      </c>
    </row>
    <row r="2" ht="22" customHeight="1">
      <c r="A2" s="24" t="inlineStr">
        <is>
          <t>机构名称</t>
        </is>
      </c>
      <c r="B2" s="25" t="inlineStr">
        <is>
          <t>明道典当</t>
        </is>
      </c>
      <c r="C2" s="26" t="inlineStr">
        <is>
          <t>← 这格是拆分依据，别改。整张表是一条公式的结果，要改数据去【表2客户典当登记】改，手动在这里打字会把公式顶掉。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  <c r="AA2" s="27" t="inlineStr">
        <is>
          <t>机构</t>
        </is>
      </c>
      <c r="AB2" s="28">
        <f>"明道典当"</f>
        <v/>
      </c>
      <c r="AC2" s="27" t="inlineStr">
        <is>
          <t>笔数</t>
        </is>
      </c>
      <c r="AD2" s="16">
        <f>COUNTIF(表2客户典当登记!$B$4:$B$403,"明道典当")</f>
        <v/>
      </c>
      <c r="AE2" s="27" t="inlineStr">
        <is>
          <t>典当金额</t>
        </is>
      </c>
      <c r="AF2" s="29">
        <f>ROUND(SUMIF(表2客户典当登记!$B$4:$B$403,"明道典当",表2客户典当登记!$L$4:$L$403),2)</f>
        <v/>
      </c>
      <c r="AG2" s="27" t="inlineStr">
        <is>
          <t>已还本金</t>
        </is>
      </c>
      <c r="AH2" s="29">
        <f>ROUND(SUMIF(表2客户典当登记!$B$4:$B$403,"明道典当",表2客户典当登记!$M$4:$M$403),2)</f>
        <v/>
      </c>
      <c r="AI2" s="27" t="inlineStr">
        <is>
          <t>当前在当</t>
        </is>
      </c>
      <c r="AJ2" s="29">
        <f>ROUND(SUMIF(表2客户典当登记!$B$4:$B$403,"明道典当",表2客户典当登记!$N$4:$N$403),2)</f>
        <v/>
      </c>
      <c r="AK2" s="27" t="inlineStr">
        <is>
          <t>应收利息</t>
        </is>
      </c>
      <c r="AL2" s="29">
        <f>ROUND(SUMIF(表2客户典当登记!$B$4:$B$403,"明道典当",表2客户典当登记!$P$4:$P$403),2)</f>
        <v/>
      </c>
    </row>
    <row r="3" ht="32" customHeight="1">
      <c r="A3" s="24" t="inlineStr">
        <is>
          <t>序号</t>
        </is>
      </c>
      <c r="B3" s="24" t="inlineStr">
        <is>
          <t>抵押机构 ★</t>
        </is>
      </c>
      <c r="C3" s="24" t="inlineStr">
        <is>
          <t>抵押物品 ★</t>
        </is>
      </c>
      <c r="D3" s="24" t="inlineStr">
        <is>
          <t>状态 ★</t>
        </is>
      </c>
      <c r="E3" s="24" t="inlineStr">
        <is>
          <t>客户姓名 ★</t>
        </is>
      </c>
      <c r="F3" s="24" t="inlineStr">
        <is>
          <t>身份证号</t>
        </is>
      </c>
      <c r="G3" s="24" t="inlineStr">
        <is>
          <t>客户电话</t>
        </is>
      </c>
      <c r="H3" s="24" t="inlineStr">
        <is>
          <t>当票号</t>
        </is>
      </c>
      <c r="I3" s="24" t="inlineStr">
        <is>
          <t>当票日期</t>
        </is>
      </c>
      <c r="J3" s="24" t="inlineStr">
        <is>
          <t>当票到期日</t>
        </is>
      </c>
      <c r="K3" s="24" t="inlineStr">
        <is>
          <t>出款日期</t>
        </is>
      </c>
      <c r="L3" s="24" t="inlineStr">
        <is>
          <t>典当金额 ★</t>
        </is>
      </c>
      <c r="M3" s="24" t="inlineStr">
        <is>
          <t>已还本金</t>
        </is>
      </c>
      <c r="N3" s="24" t="inlineStr">
        <is>
          <t>当前在当</t>
        </is>
      </c>
      <c r="O3" s="24" t="inlineStr">
        <is>
          <t>典当系统费率</t>
        </is>
      </c>
      <c r="P3" s="24" t="inlineStr">
        <is>
          <t>应收利息</t>
        </is>
      </c>
      <c r="Q3" s="24" t="inlineStr">
        <is>
          <t>利息日</t>
        </is>
      </c>
      <c r="R3" s="24" t="inlineStr">
        <is>
          <t>应付利息日</t>
        </is>
      </c>
      <c r="S3" s="24" t="inlineStr">
        <is>
          <t>对公</t>
        </is>
      </c>
      <c r="T3" s="24" t="inlineStr">
        <is>
          <t>违约金</t>
        </is>
      </c>
      <c r="U3" s="24" t="inlineStr">
        <is>
          <t>开票金额</t>
        </is>
      </c>
      <c r="V3" s="24" t="inlineStr">
        <is>
          <t>付息方式</t>
        </is>
      </c>
      <c r="W3" s="24" t="inlineStr">
        <is>
          <t>详情/备注</t>
        </is>
      </c>
      <c r="X3" s="24" t="inlineStr">
        <is>
          <t>核对</t>
        </is>
      </c>
    </row>
    <row r="4">
      <c r="A4" s="18" cm="1">
        <f t="array" ref="A4:X203">_xlfn._xlws.FILTER(IF(表2客户典当登记!$A$4:$X$403="","",表2客户典当登记!$A$4:$X$403),表2客户典当登记!$B$4:$B$403=$B$2,"这个机构还没有记录")</f>
        <v/>
      </c>
      <c r="B4" s="18" t="n"/>
      <c r="C4" s="18" t="n"/>
      <c r="D4" s="18" t="n"/>
      <c r="E4" s="18" t="n"/>
      <c r="F4" s="18" t="n"/>
      <c r="G4" s="18" t="n"/>
      <c r="H4" s="18" t="n"/>
      <c r="I4" s="30" t="n"/>
      <c r="J4" s="30" t="n"/>
      <c r="K4" s="30" t="n"/>
      <c r="L4" s="22" t="n"/>
      <c r="M4" s="22" t="n"/>
      <c r="N4" s="22" t="n"/>
      <c r="O4" s="31" t="n"/>
      <c r="P4" s="22" t="n"/>
      <c r="Q4" s="18" t="n"/>
      <c r="R4" s="30" t="n"/>
      <c r="S4" s="22" t="n"/>
      <c r="T4" s="22" t="n"/>
      <c r="U4" s="22" t="n"/>
      <c r="V4" s="18" t="n"/>
      <c r="W4" s="18" t="n"/>
      <c r="X4" s="18" t="n"/>
    </row>
    <row r="5">
      <c r="A5" s="18" t="n"/>
      <c r="B5" s="18" t="n"/>
      <c r="C5" s="18" t="n"/>
      <c r="D5" s="18" t="n"/>
      <c r="E5" s="18" t="n"/>
      <c r="F5" s="18" t="n"/>
      <c r="G5" s="18" t="n"/>
      <c r="H5" s="18" t="n"/>
      <c r="I5" s="30" t="n"/>
      <c r="J5" s="30" t="n"/>
      <c r="K5" s="30" t="n"/>
      <c r="L5" s="22" t="n"/>
      <c r="M5" s="22" t="n"/>
      <c r="N5" s="22" t="n"/>
      <c r="O5" s="31" t="n"/>
      <c r="P5" s="22" t="n"/>
      <c r="Q5" s="18" t="n"/>
      <c r="R5" s="30" t="n"/>
      <c r="S5" s="22" t="n"/>
      <c r="T5" s="22" t="n"/>
      <c r="U5" s="22" t="n"/>
      <c r="V5" s="18" t="n"/>
      <c r="W5" s="18" t="n"/>
      <c r="X5" s="18" t="n"/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  <c r="I6" s="30" t="n"/>
      <c r="J6" s="30" t="n"/>
      <c r="K6" s="30" t="n"/>
      <c r="L6" s="22" t="n"/>
      <c r="M6" s="22" t="n"/>
      <c r="N6" s="22" t="n"/>
      <c r="O6" s="31" t="n"/>
      <c r="P6" s="22" t="n"/>
      <c r="Q6" s="18" t="n"/>
      <c r="R6" s="30" t="n"/>
      <c r="S6" s="22" t="n"/>
      <c r="T6" s="22" t="n"/>
      <c r="U6" s="22" t="n"/>
      <c r="V6" s="18" t="n"/>
      <c r="W6" s="18" t="n"/>
      <c r="X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30" t="n"/>
      <c r="J7" s="30" t="n"/>
      <c r="K7" s="30" t="n"/>
      <c r="L7" s="22" t="n"/>
      <c r="M7" s="22" t="n"/>
      <c r="N7" s="22" t="n"/>
      <c r="O7" s="31" t="n"/>
      <c r="P7" s="22" t="n"/>
      <c r="Q7" s="18" t="n"/>
      <c r="R7" s="30" t="n"/>
      <c r="S7" s="22" t="n"/>
      <c r="T7" s="22" t="n"/>
      <c r="U7" s="22" t="n"/>
      <c r="V7" s="18" t="n"/>
      <c r="W7" s="18" t="n"/>
      <c r="X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30" t="n"/>
      <c r="J8" s="30" t="n"/>
      <c r="K8" s="30" t="n"/>
      <c r="L8" s="22" t="n"/>
      <c r="M8" s="22" t="n"/>
      <c r="N8" s="22" t="n"/>
      <c r="O8" s="31" t="n"/>
      <c r="P8" s="22" t="n"/>
      <c r="Q8" s="18" t="n"/>
      <c r="R8" s="30" t="n"/>
      <c r="S8" s="22" t="n"/>
      <c r="T8" s="22" t="n"/>
      <c r="U8" s="22" t="n"/>
      <c r="V8" s="18" t="n"/>
      <c r="W8" s="18" t="n"/>
      <c r="X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30" t="n"/>
      <c r="J9" s="30" t="n"/>
      <c r="K9" s="30" t="n"/>
      <c r="L9" s="22" t="n"/>
      <c r="M9" s="22" t="n"/>
      <c r="N9" s="22" t="n"/>
      <c r="O9" s="31" t="n"/>
      <c r="P9" s="22" t="n"/>
      <c r="Q9" s="18" t="n"/>
      <c r="R9" s="30" t="n"/>
      <c r="S9" s="22" t="n"/>
      <c r="T9" s="22" t="n"/>
      <c r="U9" s="22" t="n"/>
      <c r="V9" s="18" t="n"/>
      <c r="W9" s="18" t="n"/>
      <c r="X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30" t="n"/>
      <c r="J10" s="30" t="n"/>
      <c r="K10" s="30" t="n"/>
      <c r="L10" s="22" t="n"/>
      <c r="M10" s="22" t="n"/>
      <c r="N10" s="22" t="n"/>
      <c r="O10" s="31" t="n"/>
      <c r="P10" s="22" t="n"/>
      <c r="Q10" s="18" t="n"/>
      <c r="R10" s="30" t="n"/>
      <c r="S10" s="22" t="n"/>
      <c r="T10" s="22" t="n"/>
      <c r="U10" s="22" t="n"/>
      <c r="V10" s="18" t="n"/>
      <c r="W10" s="18" t="n"/>
      <c r="X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30" t="n"/>
      <c r="J11" s="30" t="n"/>
      <c r="K11" s="30" t="n"/>
      <c r="L11" s="22" t="n"/>
      <c r="M11" s="22" t="n"/>
      <c r="N11" s="22" t="n"/>
      <c r="O11" s="31" t="n"/>
      <c r="P11" s="22" t="n"/>
      <c r="Q11" s="18" t="n"/>
      <c r="R11" s="30" t="n"/>
      <c r="S11" s="22" t="n"/>
      <c r="T11" s="22" t="n"/>
      <c r="U11" s="22" t="n"/>
      <c r="V11" s="18" t="n"/>
      <c r="W11" s="18" t="n"/>
      <c r="X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30" t="n"/>
      <c r="J12" s="30" t="n"/>
      <c r="K12" s="30" t="n"/>
      <c r="L12" s="22" t="n"/>
      <c r="M12" s="22" t="n"/>
      <c r="N12" s="22" t="n"/>
      <c r="O12" s="31" t="n"/>
      <c r="P12" s="22" t="n"/>
      <c r="Q12" s="18" t="n"/>
      <c r="R12" s="30" t="n"/>
      <c r="S12" s="22" t="n"/>
      <c r="T12" s="22" t="n"/>
      <c r="U12" s="22" t="n"/>
      <c r="V12" s="18" t="n"/>
      <c r="W12" s="18" t="n"/>
      <c r="X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30" t="n"/>
      <c r="J13" s="30" t="n"/>
      <c r="K13" s="30" t="n"/>
      <c r="L13" s="22" t="n"/>
      <c r="M13" s="22" t="n"/>
      <c r="N13" s="22" t="n"/>
      <c r="O13" s="31" t="n"/>
      <c r="P13" s="22" t="n"/>
      <c r="Q13" s="18" t="n"/>
      <c r="R13" s="30" t="n"/>
      <c r="S13" s="22" t="n"/>
      <c r="T13" s="22" t="n"/>
      <c r="U13" s="22" t="n"/>
      <c r="V13" s="18" t="n"/>
      <c r="W13" s="18" t="n"/>
      <c r="X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30" t="n"/>
      <c r="J14" s="30" t="n"/>
      <c r="K14" s="30" t="n"/>
      <c r="L14" s="22" t="n"/>
      <c r="M14" s="22" t="n"/>
      <c r="N14" s="22" t="n"/>
      <c r="O14" s="31" t="n"/>
      <c r="P14" s="22" t="n"/>
      <c r="Q14" s="18" t="n"/>
      <c r="R14" s="30" t="n"/>
      <c r="S14" s="22" t="n"/>
      <c r="T14" s="22" t="n"/>
      <c r="U14" s="22" t="n"/>
      <c r="V14" s="18" t="n"/>
      <c r="W14" s="18" t="n"/>
      <c r="X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30" t="n"/>
      <c r="J15" s="30" t="n"/>
      <c r="K15" s="30" t="n"/>
      <c r="L15" s="22" t="n"/>
      <c r="M15" s="22" t="n"/>
      <c r="N15" s="22" t="n"/>
      <c r="O15" s="31" t="n"/>
      <c r="P15" s="22" t="n"/>
      <c r="Q15" s="18" t="n"/>
      <c r="R15" s="30" t="n"/>
      <c r="S15" s="22" t="n"/>
      <c r="T15" s="22" t="n"/>
      <c r="U15" s="22" t="n"/>
      <c r="V15" s="18" t="n"/>
      <c r="W15" s="18" t="n"/>
      <c r="X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30" t="n"/>
      <c r="J16" s="30" t="n"/>
      <c r="K16" s="30" t="n"/>
      <c r="L16" s="22" t="n"/>
      <c r="M16" s="22" t="n"/>
      <c r="N16" s="22" t="n"/>
      <c r="O16" s="31" t="n"/>
      <c r="P16" s="22" t="n"/>
      <c r="Q16" s="18" t="n"/>
      <c r="R16" s="30" t="n"/>
      <c r="S16" s="22" t="n"/>
      <c r="T16" s="22" t="n"/>
      <c r="U16" s="22" t="n"/>
      <c r="V16" s="18" t="n"/>
      <c r="W16" s="18" t="n"/>
      <c r="X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30" t="n"/>
      <c r="J17" s="30" t="n"/>
      <c r="K17" s="30" t="n"/>
      <c r="L17" s="22" t="n"/>
      <c r="M17" s="22" t="n"/>
      <c r="N17" s="22" t="n"/>
      <c r="O17" s="31" t="n"/>
      <c r="P17" s="22" t="n"/>
      <c r="Q17" s="18" t="n"/>
      <c r="R17" s="30" t="n"/>
      <c r="S17" s="22" t="n"/>
      <c r="T17" s="22" t="n"/>
      <c r="U17" s="22" t="n"/>
      <c r="V17" s="18" t="n"/>
      <c r="W17" s="18" t="n"/>
      <c r="X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30" t="n"/>
      <c r="J18" s="30" t="n"/>
      <c r="K18" s="30" t="n"/>
      <c r="L18" s="22" t="n"/>
      <c r="M18" s="22" t="n"/>
      <c r="N18" s="22" t="n"/>
      <c r="O18" s="31" t="n"/>
      <c r="P18" s="22" t="n"/>
      <c r="Q18" s="18" t="n"/>
      <c r="R18" s="30" t="n"/>
      <c r="S18" s="22" t="n"/>
      <c r="T18" s="22" t="n"/>
      <c r="U18" s="22" t="n"/>
      <c r="V18" s="18" t="n"/>
      <c r="W18" s="18" t="n"/>
      <c r="X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30" t="n"/>
      <c r="J19" s="30" t="n"/>
      <c r="K19" s="30" t="n"/>
      <c r="L19" s="22" t="n"/>
      <c r="M19" s="22" t="n"/>
      <c r="N19" s="22" t="n"/>
      <c r="O19" s="31" t="n"/>
      <c r="P19" s="22" t="n"/>
      <c r="Q19" s="18" t="n"/>
      <c r="R19" s="30" t="n"/>
      <c r="S19" s="22" t="n"/>
      <c r="T19" s="22" t="n"/>
      <c r="U19" s="22" t="n"/>
      <c r="V19" s="18" t="n"/>
      <c r="W19" s="18" t="n"/>
      <c r="X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30" t="n"/>
      <c r="J20" s="30" t="n"/>
      <c r="K20" s="30" t="n"/>
      <c r="L20" s="22" t="n"/>
      <c r="M20" s="22" t="n"/>
      <c r="N20" s="22" t="n"/>
      <c r="O20" s="31" t="n"/>
      <c r="P20" s="22" t="n"/>
      <c r="Q20" s="18" t="n"/>
      <c r="R20" s="30" t="n"/>
      <c r="S20" s="22" t="n"/>
      <c r="T20" s="22" t="n"/>
      <c r="U20" s="22" t="n"/>
      <c r="V20" s="18" t="n"/>
      <c r="W20" s="18" t="n"/>
      <c r="X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30" t="n"/>
      <c r="J21" s="30" t="n"/>
      <c r="K21" s="30" t="n"/>
      <c r="L21" s="22" t="n"/>
      <c r="M21" s="22" t="n"/>
      <c r="N21" s="22" t="n"/>
      <c r="O21" s="31" t="n"/>
      <c r="P21" s="22" t="n"/>
      <c r="Q21" s="18" t="n"/>
      <c r="R21" s="30" t="n"/>
      <c r="S21" s="22" t="n"/>
      <c r="T21" s="22" t="n"/>
      <c r="U21" s="22" t="n"/>
      <c r="V21" s="18" t="n"/>
      <c r="W21" s="18" t="n"/>
      <c r="X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30" t="n"/>
      <c r="J22" s="30" t="n"/>
      <c r="K22" s="30" t="n"/>
      <c r="L22" s="22" t="n"/>
      <c r="M22" s="22" t="n"/>
      <c r="N22" s="22" t="n"/>
      <c r="O22" s="31" t="n"/>
      <c r="P22" s="22" t="n"/>
      <c r="Q22" s="18" t="n"/>
      <c r="R22" s="30" t="n"/>
      <c r="S22" s="22" t="n"/>
      <c r="T22" s="22" t="n"/>
      <c r="U22" s="22" t="n"/>
      <c r="V22" s="18" t="n"/>
      <c r="W22" s="18" t="n"/>
      <c r="X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30" t="n"/>
      <c r="J23" s="30" t="n"/>
      <c r="K23" s="30" t="n"/>
      <c r="L23" s="22" t="n"/>
      <c r="M23" s="22" t="n"/>
      <c r="N23" s="22" t="n"/>
      <c r="O23" s="31" t="n"/>
      <c r="P23" s="22" t="n"/>
      <c r="Q23" s="18" t="n"/>
      <c r="R23" s="30" t="n"/>
      <c r="S23" s="22" t="n"/>
      <c r="T23" s="22" t="n"/>
      <c r="U23" s="22" t="n"/>
      <c r="V23" s="18" t="n"/>
      <c r="W23" s="18" t="n"/>
      <c r="X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30" t="n"/>
      <c r="J24" s="30" t="n"/>
      <c r="K24" s="30" t="n"/>
      <c r="L24" s="22" t="n"/>
      <c r="M24" s="22" t="n"/>
      <c r="N24" s="22" t="n"/>
      <c r="O24" s="31" t="n"/>
      <c r="P24" s="22" t="n"/>
      <c r="Q24" s="18" t="n"/>
      <c r="R24" s="30" t="n"/>
      <c r="S24" s="22" t="n"/>
      <c r="T24" s="22" t="n"/>
      <c r="U24" s="22" t="n"/>
      <c r="V24" s="18" t="n"/>
      <c r="W24" s="18" t="n"/>
      <c r="X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30" t="n"/>
      <c r="J25" s="30" t="n"/>
      <c r="K25" s="30" t="n"/>
      <c r="L25" s="22" t="n"/>
      <c r="M25" s="22" t="n"/>
      <c r="N25" s="22" t="n"/>
      <c r="O25" s="31" t="n"/>
      <c r="P25" s="22" t="n"/>
      <c r="Q25" s="18" t="n"/>
      <c r="R25" s="30" t="n"/>
      <c r="S25" s="22" t="n"/>
      <c r="T25" s="22" t="n"/>
      <c r="U25" s="22" t="n"/>
      <c r="V25" s="18" t="n"/>
      <c r="W25" s="18" t="n"/>
      <c r="X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30" t="n"/>
      <c r="J26" s="30" t="n"/>
      <c r="K26" s="30" t="n"/>
      <c r="L26" s="22" t="n"/>
      <c r="M26" s="22" t="n"/>
      <c r="N26" s="22" t="n"/>
      <c r="O26" s="31" t="n"/>
      <c r="P26" s="22" t="n"/>
      <c r="Q26" s="18" t="n"/>
      <c r="R26" s="30" t="n"/>
      <c r="S26" s="22" t="n"/>
      <c r="T26" s="22" t="n"/>
      <c r="U26" s="22" t="n"/>
      <c r="V26" s="18" t="n"/>
      <c r="W26" s="18" t="n"/>
      <c r="X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30" t="n"/>
      <c r="J27" s="30" t="n"/>
      <c r="K27" s="30" t="n"/>
      <c r="L27" s="22" t="n"/>
      <c r="M27" s="22" t="n"/>
      <c r="N27" s="22" t="n"/>
      <c r="O27" s="31" t="n"/>
      <c r="P27" s="22" t="n"/>
      <c r="Q27" s="18" t="n"/>
      <c r="R27" s="30" t="n"/>
      <c r="S27" s="22" t="n"/>
      <c r="T27" s="22" t="n"/>
      <c r="U27" s="22" t="n"/>
      <c r="V27" s="18" t="n"/>
      <c r="W27" s="18" t="n"/>
      <c r="X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30" t="n"/>
      <c r="J28" s="30" t="n"/>
      <c r="K28" s="30" t="n"/>
      <c r="L28" s="22" t="n"/>
      <c r="M28" s="22" t="n"/>
      <c r="N28" s="22" t="n"/>
      <c r="O28" s="31" t="n"/>
      <c r="P28" s="22" t="n"/>
      <c r="Q28" s="18" t="n"/>
      <c r="R28" s="30" t="n"/>
      <c r="S28" s="22" t="n"/>
      <c r="T28" s="22" t="n"/>
      <c r="U28" s="22" t="n"/>
      <c r="V28" s="18" t="n"/>
      <c r="W28" s="18" t="n"/>
      <c r="X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30" t="n"/>
      <c r="J29" s="30" t="n"/>
      <c r="K29" s="30" t="n"/>
      <c r="L29" s="22" t="n"/>
      <c r="M29" s="22" t="n"/>
      <c r="N29" s="22" t="n"/>
      <c r="O29" s="31" t="n"/>
      <c r="P29" s="22" t="n"/>
      <c r="Q29" s="18" t="n"/>
      <c r="R29" s="30" t="n"/>
      <c r="S29" s="22" t="n"/>
      <c r="T29" s="22" t="n"/>
      <c r="U29" s="22" t="n"/>
      <c r="V29" s="18" t="n"/>
      <c r="W29" s="18" t="n"/>
      <c r="X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30" t="n"/>
      <c r="J30" s="30" t="n"/>
      <c r="K30" s="30" t="n"/>
      <c r="L30" s="22" t="n"/>
      <c r="M30" s="22" t="n"/>
      <c r="N30" s="22" t="n"/>
      <c r="O30" s="31" t="n"/>
      <c r="P30" s="22" t="n"/>
      <c r="Q30" s="18" t="n"/>
      <c r="R30" s="30" t="n"/>
      <c r="S30" s="22" t="n"/>
      <c r="T30" s="22" t="n"/>
      <c r="U30" s="22" t="n"/>
      <c r="V30" s="18" t="n"/>
      <c r="W30" s="18" t="n"/>
      <c r="X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30" t="n"/>
      <c r="J31" s="30" t="n"/>
      <c r="K31" s="30" t="n"/>
      <c r="L31" s="22" t="n"/>
      <c r="M31" s="22" t="n"/>
      <c r="N31" s="22" t="n"/>
      <c r="O31" s="31" t="n"/>
      <c r="P31" s="22" t="n"/>
      <c r="Q31" s="18" t="n"/>
      <c r="R31" s="30" t="n"/>
      <c r="S31" s="22" t="n"/>
      <c r="T31" s="22" t="n"/>
      <c r="U31" s="22" t="n"/>
      <c r="V31" s="18" t="n"/>
      <c r="W31" s="18" t="n"/>
      <c r="X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30" t="n"/>
      <c r="J32" s="30" t="n"/>
      <c r="K32" s="30" t="n"/>
      <c r="L32" s="22" t="n"/>
      <c r="M32" s="22" t="n"/>
      <c r="N32" s="22" t="n"/>
      <c r="O32" s="31" t="n"/>
      <c r="P32" s="22" t="n"/>
      <c r="Q32" s="18" t="n"/>
      <c r="R32" s="30" t="n"/>
      <c r="S32" s="22" t="n"/>
      <c r="T32" s="22" t="n"/>
      <c r="U32" s="22" t="n"/>
      <c r="V32" s="18" t="n"/>
      <c r="W32" s="18" t="n"/>
      <c r="X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30" t="n"/>
      <c r="J33" s="30" t="n"/>
      <c r="K33" s="30" t="n"/>
      <c r="L33" s="22" t="n"/>
      <c r="M33" s="22" t="n"/>
      <c r="N33" s="22" t="n"/>
      <c r="O33" s="31" t="n"/>
      <c r="P33" s="22" t="n"/>
      <c r="Q33" s="18" t="n"/>
      <c r="R33" s="30" t="n"/>
      <c r="S33" s="22" t="n"/>
      <c r="T33" s="22" t="n"/>
      <c r="U33" s="22" t="n"/>
      <c r="V33" s="18" t="n"/>
      <c r="W33" s="18" t="n"/>
      <c r="X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30" t="n"/>
      <c r="J34" s="30" t="n"/>
      <c r="K34" s="30" t="n"/>
      <c r="L34" s="22" t="n"/>
      <c r="M34" s="22" t="n"/>
      <c r="N34" s="22" t="n"/>
      <c r="O34" s="31" t="n"/>
      <c r="P34" s="22" t="n"/>
      <c r="Q34" s="18" t="n"/>
      <c r="R34" s="30" t="n"/>
      <c r="S34" s="22" t="n"/>
      <c r="T34" s="22" t="n"/>
      <c r="U34" s="22" t="n"/>
      <c r="V34" s="18" t="n"/>
      <c r="W34" s="18" t="n"/>
      <c r="X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30" t="n"/>
      <c r="J35" s="30" t="n"/>
      <c r="K35" s="30" t="n"/>
      <c r="L35" s="22" t="n"/>
      <c r="M35" s="22" t="n"/>
      <c r="N35" s="22" t="n"/>
      <c r="O35" s="31" t="n"/>
      <c r="P35" s="22" t="n"/>
      <c r="Q35" s="18" t="n"/>
      <c r="R35" s="30" t="n"/>
      <c r="S35" s="22" t="n"/>
      <c r="T35" s="22" t="n"/>
      <c r="U35" s="22" t="n"/>
      <c r="V35" s="18" t="n"/>
      <c r="W35" s="18" t="n"/>
      <c r="X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30" t="n"/>
      <c r="J36" s="30" t="n"/>
      <c r="K36" s="30" t="n"/>
      <c r="L36" s="22" t="n"/>
      <c r="M36" s="22" t="n"/>
      <c r="N36" s="22" t="n"/>
      <c r="O36" s="31" t="n"/>
      <c r="P36" s="22" t="n"/>
      <c r="Q36" s="18" t="n"/>
      <c r="R36" s="30" t="n"/>
      <c r="S36" s="22" t="n"/>
      <c r="T36" s="22" t="n"/>
      <c r="U36" s="22" t="n"/>
      <c r="V36" s="18" t="n"/>
      <c r="W36" s="18" t="n"/>
      <c r="X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30" t="n"/>
      <c r="J37" s="30" t="n"/>
      <c r="K37" s="30" t="n"/>
      <c r="L37" s="22" t="n"/>
      <c r="M37" s="22" t="n"/>
      <c r="N37" s="22" t="n"/>
      <c r="O37" s="31" t="n"/>
      <c r="P37" s="22" t="n"/>
      <c r="Q37" s="18" t="n"/>
      <c r="R37" s="30" t="n"/>
      <c r="S37" s="22" t="n"/>
      <c r="T37" s="22" t="n"/>
      <c r="U37" s="22" t="n"/>
      <c r="V37" s="18" t="n"/>
      <c r="W37" s="18" t="n"/>
      <c r="X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30" t="n"/>
      <c r="J38" s="30" t="n"/>
      <c r="K38" s="30" t="n"/>
      <c r="L38" s="22" t="n"/>
      <c r="M38" s="22" t="n"/>
      <c r="N38" s="22" t="n"/>
      <c r="O38" s="31" t="n"/>
      <c r="P38" s="22" t="n"/>
      <c r="Q38" s="18" t="n"/>
      <c r="R38" s="30" t="n"/>
      <c r="S38" s="22" t="n"/>
      <c r="T38" s="22" t="n"/>
      <c r="U38" s="22" t="n"/>
      <c r="V38" s="18" t="n"/>
      <c r="W38" s="18" t="n"/>
      <c r="X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30" t="n"/>
      <c r="J39" s="30" t="n"/>
      <c r="K39" s="30" t="n"/>
      <c r="L39" s="22" t="n"/>
      <c r="M39" s="22" t="n"/>
      <c r="N39" s="22" t="n"/>
      <c r="O39" s="31" t="n"/>
      <c r="P39" s="22" t="n"/>
      <c r="Q39" s="18" t="n"/>
      <c r="R39" s="30" t="n"/>
      <c r="S39" s="22" t="n"/>
      <c r="T39" s="22" t="n"/>
      <c r="U39" s="22" t="n"/>
      <c r="V39" s="18" t="n"/>
      <c r="W39" s="18" t="n"/>
      <c r="X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30" t="n"/>
      <c r="J40" s="30" t="n"/>
      <c r="K40" s="30" t="n"/>
      <c r="L40" s="22" t="n"/>
      <c r="M40" s="22" t="n"/>
      <c r="N40" s="22" t="n"/>
      <c r="O40" s="31" t="n"/>
      <c r="P40" s="22" t="n"/>
      <c r="Q40" s="18" t="n"/>
      <c r="R40" s="30" t="n"/>
      <c r="S40" s="22" t="n"/>
      <c r="T40" s="22" t="n"/>
      <c r="U40" s="22" t="n"/>
      <c r="V40" s="18" t="n"/>
      <c r="W40" s="18" t="n"/>
      <c r="X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30" t="n"/>
      <c r="J41" s="30" t="n"/>
      <c r="K41" s="30" t="n"/>
      <c r="L41" s="22" t="n"/>
      <c r="M41" s="22" t="n"/>
      <c r="N41" s="22" t="n"/>
      <c r="O41" s="31" t="n"/>
      <c r="P41" s="22" t="n"/>
      <c r="Q41" s="18" t="n"/>
      <c r="R41" s="30" t="n"/>
      <c r="S41" s="22" t="n"/>
      <c r="T41" s="22" t="n"/>
      <c r="U41" s="22" t="n"/>
      <c r="V41" s="18" t="n"/>
      <c r="W41" s="18" t="n"/>
      <c r="X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30" t="n"/>
      <c r="J42" s="30" t="n"/>
      <c r="K42" s="30" t="n"/>
      <c r="L42" s="22" t="n"/>
      <c r="M42" s="22" t="n"/>
      <c r="N42" s="22" t="n"/>
      <c r="O42" s="31" t="n"/>
      <c r="P42" s="22" t="n"/>
      <c r="Q42" s="18" t="n"/>
      <c r="R42" s="30" t="n"/>
      <c r="S42" s="22" t="n"/>
      <c r="T42" s="22" t="n"/>
      <c r="U42" s="22" t="n"/>
      <c r="V42" s="18" t="n"/>
      <c r="W42" s="18" t="n"/>
      <c r="X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30" t="n"/>
      <c r="J43" s="30" t="n"/>
      <c r="K43" s="30" t="n"/>
      <c r="L43" s="22" t="n"/>
      <c r="M43" s="22" t="n"/>
      <c r="N43" s="22" t="n"/>
      <c r="O43" s="31" t="n"/>
      <c r="P43" s="22" t="n"/>
      <c r="Q43" s="18" t="n"/>
      <c r="R43" s="30" t="n"/>
      <c r="S43" s="22" t="n"/>
      <c r="T43" s="22" t="n"/>
      <c r="U43" s="22" t="n"/>
      <c r="V43" s="18" t="n"/>
      <c r="W43" s="18" t="n"/>
      <c r="X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30" t="n"/>
      <c r="J44" s="30" t="n"/>
      <c r="K44" s="30" t="n"/>
      <c r="L44" s="22" t="n"/>
      <c r="M44" s="22" t="n"/>
      <c r="N44" s="22" t="n"/>
      <c r="O44" s="31" t="n"/>
      <c r="P44" s="22" t="n"/>
      <c r="Q44" s="18" t="n"/>
      <c r="R44" s="30" t="n"/>
      <c r="S44" s="22" t="n"/>
      <c r="T44" s="22" t="n"/>
      <c r="U44" s="22" t="n"/>
      <c r="V44" s="18" t="n"/>
      <c r="W44" s="18" t="n"/>
      <c r="X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30" t="n"/>
      <c r="J45" s="30" t="n"/>
      <c r="K45" s="30" t="n"/>
      <c r="L45" s="22" t="n"/>
      <c r="M45" s="22" t="n"/>
      <c r="N45" s="22" t="n"/>
      <c r="O45" s="31" t="n"/>
      <c r="P45" s="22" t="n"/>
      <c r="Q45" s="18" t="n"/>
      <c r="R45" s="30" t="n"/>
      <c r="S45" s="22" t="n"/>
      <c r="T45" s="22" t="n"/>
      <c r="U45" s="22" t="n"/>
      <c r="V45" s="18" t="n"/>
      <c r="W45" s="18" t="n"/>
      <c r="X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30" t="n"/>
      <c r="J46" s="30" t="n"/>
      <c r="K46" s="30" t="n"/>
      <c r="L46" s="22" t="n"/>
      <c r="M46" s="22" t="n"/>
      <c r="N46" s="22" t="n"/>
      <c r="O46" s="31" t="n"/>
      <c r="P46" s="22" t="n"/>
      <c r="Q46" s="18" t="n"/>
      <c r="R46" s="30" t="n"/>
      <c r="S46" s="22" t="n"/>
      <c r="T46" s="22" t="n"/>
      <c r="U46" s="22" t="n"/>
      <c r="V46" s="18" t="n"/>
      <c r="W46" s="18" t="n"/>
      <c r="X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30" t="n"/>
      <c r="J47" s="30" t="n"/>
      <c r="K47" s="30" t="n"/>
      <c r="L47" s="22" t="n"/>
      <c r="M47" s="22" t="n"/>
      <c r="N47" s="22" t="n"/>
      <c r="O47" s="31" t="n"/>
      <c r="P47" s="22" t="n"/>
      <c r="Q47" s="18" t="n"/>
      <c r="R47" s="30" t="n"/>
      <c r="S47" s="22" t="n"/>
      <c r="T47" s="22" t="n"/>
      <c r="U47" s="22" t="n"/>
      <c r="V47" s="18" t="n"/>
      <c r="W47" s="18" t="n"/>
      <c r="X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30" t="n"/>
      <c r="J48" s="30" t="n"/>
      <c r="K48" s="30" t="n"/>
      <c r="L48" s="22" t="n"/>
      <c r="M48" s="22" t="n"/>
      <c r="N48" s="22" t="n"/>
      <c r="O48" s="31" t="n"/>
      <c r="P48" s="22" t="n"/>
      <c r="Q48" s="18" t="n"/>
      <c r="R48" s="30" t="n"/>
      <c r="S48" s="22" t="n"/>
      <c r="T48" s="22" t="n"/>
      <c r="U48" s="22" t="n"/>
      <c r="V48" s="18" t="n"/>
      <c r="W48" s="18" t="n"/>
      <c r="X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30" t="n"/>
      <c r="J49" s="30" t="n"/>
      <c r="K49" s="30" t="n"/>
      <c r="L49" s="22" t="n"/>
      <c r="M49" s="22" t="n"/>
      <c r="N49" s="22" t="n"/>
      <c r="O49" s="31" t="n"/>
      <c r="P49" s="22" t="n"/>
      <c r="Q49" s="18" t="n"/>
      <c r="R49" s="30" t="n"/>
      <c r="S49" s="22" t="n"/>
      <c r="T49" s="22" t="n"/>
      <c r="U49" s="22" t="n"/>
      <c r="V49" s="18" t="n"/>
      <c r="W49" s="18" t="n"/>
      <c r="X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30" t="n"/>
      <c r="J50" s="30" t="n"/>
      <c r="K50" s="30" t="n"/>
      <c r="L50" s="22" t="n"/>
      <c r="M50" s="22" t="n"/>
      <c r="N50" s="22" t="n"/>
      <c r="O50" s="31" t="n"/>
      <c r="P50" s="22" t="n"/>
      <c r="Q50" s="18" t="n"/>
      <c r="R50" s="30" t="n"/>
      <c r="S50" s="22" t="n"/>
      <c r="T50" s="22" t="n"/>
      <c r="U50" s="22" t="n"/>
      <c r="V50" s="18" t="n"/>
      <c r="W50" s="18" t="n"/>
      <c r="X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30" t="n"/>
      <c r="J51" s="30" t="n"/>
      <c r="K51" s="30" t="n"/>
      <c r="L51" s="22" t="n"/>
      <c r="M51" s="22" t="n"/>
      <c r="N51" s="22" t="n"/>
      <c r="O51" s="31" t="n"/>
      <c r="P51" s="22" t="n"/>
      <c r="Q51" s="18" t="n"/>
      <c r="R51" s="30" t="n"/>
      <c r="S51" s="22" t="n"/>
      <c r="T51" s="22" t="n"/>
      <c r="U51" s="22" t="n"/>
      <c r="V51" s="18" t="n"/>
      <c r="W51" s="18" t="n"/>
      <c r="X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30" t="n"/>
      <c r="J52" s="30" t="n"/>
      <c r="K52" s="30" t="n"/>
      <c r="L52" s="22" t="n"/>
      <c r="M52" s="22" t="n"/>
      <c r="N52" s="22" t="n"/>
      <c r="O52" s="31" t="n"/>
      <c r="P52" s="22" t="n"/>
      <c r="Q52" s="18" t="n"/>
      <c r="R52" s="30" t="n"/>
      <c r="S52" s="22" t="n"/>
      <c r="T52" s="22" t="n"/>
      <c r="U52" s="22" t="n"/>
      <c r="V52" s="18" t="n"/>
      <c r="W52" s="18" t="n"/>
      <c r="X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30" t="n"/>
      <c r="J53" s="30" t="n"/>
      <c r="K53" s="30" t="n"/>
      <c r="L53" s="22" t="n"/>
      <c r="M53" s="22" t="n"/>
      <c r="N53" s="22" t="n"/>
      <c r="O53" s="31" t="n"/>
      <c r="P53" s="22" t="n"/>
      <c r="Q53" s="18" t="n"/>
      <c r="R53" s="30" t="n"/>
      <c r="S53" s="22" t="n"/>
      <c r="T53" s="22" t="n"/>
      <c r="U53" s="22" t="n"/>
      <c r="V53" s="18" t="n"/>
      <c r="W53" s="18" t="n"/>
      <c r="X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30" t="n"/>
      <c r="J54" s="30" t="n"/>
      <c r="K54" s="30" t="n"/>
      <c r="L54" s="22" t="n"/>
      <c r="M54" s="22" t="n"/>
      <c r="N54" s="22" t="n"/>
      <c r="O54" s="31" t="n"/>
      <c r="P54" s="22" t="n"/>
      <c r="Q54" s="18" t="n"/>
      <c r="R54" s="30" t="n"/>
      <c r="S54" s="22" t="n"/>
      <c r="T54" s="22" t="n"/>
      <c r="U54" s="22" t="n"/>
      <c r="V54" s="18" t="n"/>
      <c r="W54" s="18" t="n"/>
      <c r="X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30" t="n"/>
      <c r="J55" s="30" t="n"/>
      <c r="K55" s="30" t="n"/>
      <c r="L55" s="22" t="n"/>
      <c r="M55" s="22" t="n"/>
      <c r="N55" s="22" t="n"/>
      <c r="O55" s="31" t="n"/>
      <c r="P55" s="22" t="n"/>
      <c r="Q55" s="18" t="n"/>
      <c r="R55" s="30" t="n"/>
      <c r="S55" s="22" t="n"/>
      <c r="T55" s="22" t="n"/>
      <c r="U55" s="22" t="n"/>
      <c r="V55" s="18" t="n"/>
      <c r="W55" s="18" t="n"/>
      <c r="X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30" t="n"/>
      <c r="J56" s="30" t="n"/>
      <c r="K56" s="30" t="n"/>
      <c r="L56" s="22" t="n"/>
      <c r="M56" s="22" t="n"/>
      <c r="N56" s="22" t="n"/>
      <c r="O56" s="31" t="n"/>
      <c r="P56" s="22" t="n"/>
      <c r="Q56" s="18" t="n"/>
      <c r="R56" s="30" t="n"/>
      <c r="S56" s="22" t="n"/>
      <c r="T56" s="22" t="n"/>
      <c r="U56" s="22" t="n"/>
      <c r="V56" s="18" t="n"/>
      <c r="W56" s="18" t="n"/>
      <c r="X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30" t="n"/>
      <c r="J57" s="30" t="n"/>
      <c r="K57" s="30" t="n"/>
      <c r="L57" s="22" t="n"/>
      <c r="M57" s="22" t="n"/>
      <c r="N57" s="22" t="n"/>
      <c r="O57" s="31" t="n"/>
      <c r="P57" s="22" t="n"/>
      <c r="Q57" s="18" t="n"/>
      <c r="R57" s="30" t="n"/>
      <c r="S57" s="22" t="n"/>
      <c r="T57" s="22" t="n"/>
      <c r="U57" s="22" t="n"/>
      <c r="V57" s="18" t="n"/>
      <c r="W57" s="18" t="n"/>
      <c r="X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30" t="n"/>
      <c r="J58" s="30" t="n"/>
      <c r="K58" s="30" t="n"/>
      <c r="L58" s="22" t="n"/>
      <c r="M58" s="22" t="n"/>
      <c r="N58" s="22" t="n"/>
      <c r="O58" s="31" t="n"/>
      <c r="P58" s="22" t="n"/>
      <c r="Q58" s="18" t="n"/>
      <c r="R58" s="30" t="n"/>
      <c r="S58" s="22" t="n"/>
      <c r="T58" s="22" t="n"/>
      <c r="U58" s="22" t="n"/>
      <c r="V58" s="18" t="n"/>
      <c r="W58" s="18" t="n"/>
      <c r="X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30" t="n"/>
      <c r="J59" s="30" t="n"/>
      <c r="K59" s="30" t="n"/>
      <c r="L59" s="22" t="n"/>
      <c r="M59" s="22" t="n"/>
      <c r="N59" s="22" t="n"/>
      <c r="O59" s="31" t="n"/>
      <c r="P59" s="22" t="n"/>
      <c r="Q59" s="18" t="n"/>
      <c r="R59" s="30" t="n"/>
      <c r="S59" s="22" t="n"/>
      <c r="T59" s="22" t="n"/>
      <c r="U59" s="22" t="n"/>
      <c r="V59" s="18" t="n"/>
      <c r="W59" s="18" t="n"/>
      <c r="X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30" t="n"/>
      <c r="J60" s="30" t="n"/>
      <c r="K60" s="30" t="n"/>
      <c r="L60" s="22" t="n"/>
      <c r="M60" s="22" t="n"/>
      <c r="N60" s="22" t="n"/>
      <c r="O60" s="31" t="n"/>
      <c r="P60" s="22" t="n"/>
      <c r="Q60" s="18" t="n"/>
      <c r="R60" s="30" t="n"/>
      <c r="S60" s="22" t="n"/>
      <c r="T60" s="22" t="n"/>
      <c r="U60" s="22" t="n"/>
      <c r="V60" s="18" t="n"/>
      <c r="W60" s="18" t="n"/>
      <c r="X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30" t="n"/>
      <c r="J61" s="30" t="n"/>
      <c r="K61" s="30" t="n"/>
      <c r="L61" s="22" t="n"/>
      <c r="M61" s="22" t="n"/>
      <c r="N61" s="22" t="n"/>
      <c r="O61" s="31" t="n"/>
      <c r="P61" s="22" t="n"/>
      <c r="Q61" s="18" t="n"/>
      <c r="R61" s="30" t="n"/>
      <c r="S61" s="22" t="n"/>
      <c r="T61" s="22" t="n"/>
      <c r="U61" s="22" t="n"/>
      <c r="V61" s="18" t="n"/>
      <c r="W61" s="18" t="n"/>
      <c r="X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30" t="n"/>
      <c r="J62" s="30" t="n"/>
      <c r="K62" s="30" t="n"/>
      <c r="L62" s="22" t="n"/>
      <c r="M62" s="22" t="n"/>
      <c r="N62" s="22" t="n"/>
      <c r="O62" s="31" t="n"/>
      <c r="P62" s="22" t="n"/>
      <c r="Q62" s="18" t="n"/>
      <c r="R62" s="30" t="n"/>
      <c r="S62" s="22" t="n"/>
      <c r="T62" s="22" t="n"/>
      <c r="U62" s="22" t="n"/>
      <c r="V62" s="18" t="n"/>
      <c r="W62" s="18" t="n"/>
      <c r="X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30" t="n"/>
      <c r="J63" s="30" t="n"/>
      <c r="K63" s="30" t="n"/>
      <c r="L63" s="22" t="n"/>
      <c r="M63" s="22" t="n"/>
      <c r="N63" s="22" t="n"/>
      <c r="O63" s="31" t="n"/>
      <c r="P63" s="22" t="n"/>
      <c r="Q63" s="18" t="n"/>
      <c r="R63" s="30" t="n"/>
      <c r="S63" s="22" t="n"/>
      <c r="T63" s="22" t="n"/>
      <c r="U63" s="22" t="n"/>
      <c r="V63" s="18" t="n"/>
      <c r="W63" s="18" t="n"/>
      <c r="X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30" t="n"/>
      <c r="J64" s="30" t="n"/>
      <c r="K64" s="30" t="n"/>
      <c r="L64" s="22" t="n"/>
      <c r="M64" s="22" t="n"/>
      <c r="N64" s="22" t="n"/>
      <c r="O64" s="31" t="n"/>
      <c r="P64" s="22" t="n"/>
      <c r="Q64" s="18" t="n"/>
      <c r="R64" s="30" t="n"/>
      <c r="S64" s="22" t="n"/>
      <c r="T64" s="22" t="n"/>
      <c r="U64" s="22" t="n"/>
      <c r="V64" s="18" t="n"/>
      <c r="W64" s="18" t="n"/>
      <c r="X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30" t="n"/>
      <c r="J65" s="30" t="n"/>
      <c r="K65" s="30" t="n"/>
      <c r="L65" s="22" t="n"/>
      <c r="M65" s="22" t="n"/>
      <c r="N65" s="22" t="n"/>
      <c r="O65" s="31" t="n"/>
      <c r="P65" s="22" t="n"/>
      <c r="Q65" s="18" t="n"/>
      <c r="R65" s="30" t="n"/>
      <c r="S65" s="22" t="n"/>
      <c r="T65" s="22" t="n"/>
      <c r="U65" s="22" t="n"/>
      <c r="V65" s="18" t="n"/>
      <c r="W65" s="18" t="n"/>
      <c r="X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30" t="n"/>
      <c r="J66" s="30" t="n"/>
      <c r="K66" s="30" t="n"/>
      <c r="L66" s="22" t="n"/>
      <c r="M66" s="22" t="n"/>
      <c r="N66" s="22" t="n"/>
      <c r="O66" s="31" t="n"/>
      <c r="P66" s="22" t="n"/>
      <c r="Q66" s="18" t="n"/>
      <c r="R66" s="30" t="n"/>
      <c r="S66" s="22" t="n"/>
      <c r="T66" s="22" t="n"/>
      <c r="U66" s="22" t="n"/>
      <c r="V66" s="18" t="n"/>
      <c r="W66" s="18" t="n"/>
      <c r="X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30" t="n"/>
      <c r="J67" s="30" t="n"/>
      <c r="K67" s="30" t="n"/>
      <c r="L67" s="22" t="n"/>
      <c r="M67" s="22" t="n"/>
      <c r="N67" s="22" t="n"/>
      <c r="O67" s="31" t="n"/>
      <c r="P67" s="22" t="n"/>
      <c r="Q67" s="18" t="n"/>
      <c r="R67" s="30" t="n"/>
      <c r="S67" s="22" t="n"/>
      <c r="T67" s="22" t="n"/>
      <c r="U67" s="22" t="n"/>
      <c r="V67" s="18" t="n"/>
      <c r="W67" s="18" t="n"/>
      <c r="X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30" t="n"/>
      <c r="J68" s="30" t="n"/>
      <c r="K68" s="30" t="n"/>
      <c r="L68" s="22" t="n"/>
      <c r="M68" s="22" t="n"/>
      <c r="N68" s="22" t="n"/>
      <c r="O68" s="31" t="n"/>
      <c r="P68" s="22" t="n"/>
      <c r="Q68" s="18" t="n"/>
      <c r="R68" s="30" t="n"/>
      <c r="S68" s="22" t="n"/>
      <c r="T68" s="22" t="n"/>
      <c r="U68" s="22" t="n"/>
      <c r="V68" s="18" t="n"/>
      <c r="W68" s="18" t="n"/>
      <c r="X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30" t="n"/>
      <c r="J69" s="30" t="n"/>
      <c r="K69" s="30" t="n"/>
      <c r="L69" s="22" t="n"/>
      <c r="M69" s="22" t="n"/>
      <c r="N69" s="22" t="n"/>
      <c r="O69" s="31" t="n"/>
      <c r="P69" s="22" t="n"/>
      <c r="Q69" s="18" t="n"/>
      <c r="R69" s="30" t="n"/>
      <c r="S69" s="22" t="n"/>
      <c r="T69" s="22" t="n"/>
      <c r="U69" s="22" t="n"/>
      <c r="V69" s="18" t="n"/>
      <c r="W69" s="18" t="n"/>
      <c r="X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30" t="n"/>
      <c r="J70" s="30" t="n"/>
      <c r="K70" s="30" t="n"/>
      <c r="L70" s="22" t="n"/>
      <c r="M70" s="22" t="n"/>
      <c r="N70" s="22" t="n"/>
      <c r="O70" s="31" t="n"/>
      <c r="P70" s="22" t="n"/>
      <c r="Q70" s="18" t="n"/>
      <c r="R70" s="30" t="n"/>
      <c r="S70" s="22" t="n"/>
      <c r="T70" s="22" t="n"/>
      <c r="U70" s="22" t="n"/>
      <c r="V70" s="18" t="n"/>
      <c r="W70" s="18" t="n"/>
      <c r="X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30" t="n"/>
      <c r="J71" s="30" t="n"/>
      <c r="K71" s="30" t="n"/>
      <c r="L71" s="22" t="n"/>
      <c r="M71" s="22" t="n"/>
      <c r="N71" s="22" t="n"/>
      <c r="O71" s="31" t="n"/>
      <c r="P71" s="22" t="n"/>
      <c r="Q71" s="18" t="n"/>
      <c r="R71" s="30" t="n"/>
      <c r="S71" s="22" t="n"/>
      <c r="T71" s="22" t="n"/>
      <c r="U71" s="22" t="n"/>
      <c r="V71" s="18" t="n"/>
      <c r="W71" s="18" t="n"/>
      <c r="X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30" t="n"/>
      <c r="J72" s="30" t="n"/>
      <c r="K72" s="30" t="n"/>
      <c r="L72" s="22" t="n"/>
      <c r="M72" s="22" t="n"/>
      <c r="N72" s="22" t="n"/>
      <c r="O72" s="31" t="n"/>
      <c r="P72" s="22" t="n"/>
      <c r="Q72" s="18" t="n"/>
      <c r="R72" s="30" t="n"/>
      <c r="S72" s="22" t="n"/>
      <c r="T72" s="22" t="n"/>
      <c r="U72" s="22" t="n"/>
      <c r="V72" s="18" t="n"/>
      <c r="W72" s="18" t="n"/>
      <c r="X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30" t="n"/>
      <c r="J73" s="30" t="n"/>
      <c r="K73" s="30" t="n"/>
      <c r="L73" s="22" t="n"/>
      <c r="M73" s="22" t="n"/>
      <c r="N73" s="22" t="n"/>
      <c r="O73" s="31" t="n"/>
      <c r="P73" s="22" t="n"/>
      <c r="Q73" s="18" t="n"/>
      <c r="R73" s="30" t="n"/>
      <c r="S73" s="22" t="n"/>
      <c r="T73" s="22" t="n"/>
      <c r="U73" s="22" t="n"/>
      <c r="V73" s="18" t="n"/>
      <c r="W73" s="18" t="n"/>
      <c r="X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30" t="n"/>
      <c r="J74" s="30" t="n"/>
      <c r="K74" s="30" t="n"/>
      <c r="L74" s="22" t="n"/>
      <c r="M74" s="22" t="n"/>
      <c r="N74" s="22" t="n"/>
      <c r="O74" s="31" t="n"/>
      <c r="P74" s="22" t="n"/>
      <c r="Q74" s="18" t="n"/>
      <c r="R74" s="30" t="n"/>
      <c r="S74" s="22" t="n"/>
      <c r="T74" s="22" t="n"/>
      <c r="U74" s="22" t="n"/>
      <c r="V74" s="18" t="n"/>
      <c r="W74" s="18" t="n"/>
      <c r="X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30" t="n"/>
      <c r="J75" s="30" t="n"/>
      <c r="K75" s="30" t="n"/>
      <c r="L75" s="22" t="n"/>
      <c r="M75" s="22" t="n"/>
      <c r="N75" s="22" t="n"/>
      <c r="O75" s="31" t="n"/>
      <c r="P75" s="22" t="n"/>
      <c r="Q75" s="18" t="n"/>
      <c r="R75" s="30" t="n"/>
      <c r="S75" s="22" t="n"/>
      <c r="T75" s="22" t="n"/>
      <c r="U75" s="22" t="n"/>
      <c r="V75" s="18" t="n"/>
      <c r="W75" s="18" t="n"/>
      <c r="X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30" t="n"/>
      <c r="J76" s="30" t="n"/>
      <c r="K76" s="30" t="n"/>
      <c r="L76" s="22" t="n"/>
      <c r="M76" s="22" t="n"/>
      <c r="N76" s="22" t="n"/>
      <c r="O76" s="31" t="n"/>
      <c r="P76" s="22" t="n"/>
      <c r="Q76" s="18" t="n"/>
      <c r="R76" s="30" t="n"/>
      <c r="S76" s="22" t="n"/>
      <c r="T76" s="22" t="n"/>
      <c r="U76" s="22" t="n"/>
      <c r="V76" s="18" t="n"/>
      <c r="W76" s="18" t="n"/>
      <c r="X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30" t="n"/>
      <c r="J77" s="30" t="n"/>
      <c r="K77" s="30" t="n"/>
      <c r="L77" s="22" t="n"/>
      <c r="M77" s="22" t="n"/>
      <c r="N77" s="22" t="n"/>
      <c r="O77" s="31" t="n"/>
      <c r="P77" s="22" t="n"/>
      <c r="Q77" s="18" t="n"/>
      <c r="R77" s="30" t="n"/>
      <c r="S77" s="22" t="n"/>
      <c r="T77" s="22" t="n"/>
      <c r="U77" s="22" t="n"/>
      <c r="V77" s="18" t="n"/>
      <c r="W77" s="18" t="n"/>
      <c r="X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30" t="n"/>
      <c r="J78" s="30" t="n"/>
      <c r="K78" s="30" t="n"/>
      <c r="L78" s="22" t="n"/>
      <c r="M78" s="22" t="n"/>
      <c r="N78" s="22" t="n"/>
      <c r="O78" s="31" t="n"/>
      <c r="P78" s="22" t="n"/>
      <c r="Q78" s="18" t="n"/>
      <c r="R78" s="30" t="n"/>
      <c r="S78" s="22" t="n"/>
      <c r="T78" s="22" t="n"/>
      <c r="U78" s="22" t="n"/>
      <c r="V78" s="18" t="n"/>
      <c r="W78" s="18" t="n"/>
      <c r="X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30" t="n"/>
      <c r="J79" s="30" t="n"/>
      <c r="K79" s="30" t="n"/>
      <c r="L79" s="22" t="n"/>
      <c r="M79" s="22" t="n"/>
      <c r="N79" s="22" t="n"/>
      <c r="O79" s="31" t="n"/>
      <c r="P79" s="22" t="n"/>
      <c r="Q79" s="18" t="n"/>
      <c r="R79" s="30" t="n"/>
      <c r="S79" s="22" t="n"/>
      <c r="T79" s="22" t="n"/>
      <c r="U79" s="22" t="n"/>
      <c r="V79" s="18" t="n"/>
      <c r="W79" s="18" t="n"/>
      <c r="X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30" t="n"/>
      <c r="J80" s="30" t="n"/>
      <c r="K80" s="30" t="n"/>
      <c r="L80" s="22" t="n"/>
      <c r="M80" s="22" t="n"/>
      <c r="N80" s="22" t="n"/>
      <c r="O80" s="31" t="n"/>
      <c r="P80" s="22" t="n"/>
      <c r="Q80" s="18" t="n"/>
      <c r="R80" s="30" t="n"/>
      <c r="S80" s="22" t="n"/>
      <c r="T80" s="22" t="n"/>
      <c r="U80" s="22" t="n"/>
      <c r="V80" s="18" t="n"/>
      <c r="W80" s="18" t="n"/>
      <c r="X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30" t="n"/>
      <c r="J81" s="30" t="n"/>
      <c r="K81" s="30" t="n"/>
      <c r="L81" s="22" t="n"/>
      <c r="M81" s="22" t="n"/>
      <c r="N81" s="22" t="n"/>
      <c r="O81" s="31" t="n"/>
      <c r="P81" s="22" t="n"/>
      <c r="Q81" s="18" t="n"/>
      <c r="R81" s="30" t="n"/>
      <c r="S81" s="22" t="n"/>
      <c r="T81" s="22" t="n"/>
      <c r="U81" s="22" t="n"/>
      <c r="V81" s="18" t="n"/>
      <c r="W81" s="18" t="n"/>
      <c r="X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30" t="n"/>
      <c r="J82" s="30" t="n"/>
      <c r="K82" s="30" t="n"/>
      <c r="L82" s="22" t="n"/>
      <c r="M82" s="22" t="n"/>
      <c r="N82" s="22" t="n"/>
      <c r="O82" s="31" t="n"/>
      <c r="P82" s="22" t="n"/>
      <c r="Q82" s="18" t="n"/>
      <c r="R82" s="30" t="n"/>
      <c r="S82" s="22" t="n"/>
      <c r="T82" s="22" t="n"/>
      <c r="U82" s="22" t="n"/>
      <c r="V82" s="18" t="n"/>
      <c r="W82" s="18" t="n"/>
      <c r="X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30" t="n"/>
      <c r="J83" s="30" t="n"/>
      <c r="K83" s="30" t="n"/>
      <c r="L83" s="22" t="n"/>
      <c r="M83" s="22" t="n"/>
      <c r="N83" s="22" t="n"/>
      <c r="O83" s="31" t="n"/>
      <c r="P83" s="22" t="n"/>
      <c r="Q83" s="18" t="n"/>
      <c r="R83" s="30" t="n"/>
      <c r="S83" s="22" t="n"/>
      <c r="T83" s="22" t="n"/>
      <c r="U83" s="22" t="n"/>
      <c r="V83" s="18" t="n"/>
      <c r="W83" s="18" t="n"/>
      <c r="X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30" t="n"/>
      <c r="J84" s="30" t="n"/>
      <c r="K84" s="30" t="n"/>
      <c r="L84" s="22" t="n"/>
      <c r="M84" s="22" t="n"/>
      <c r="N84" s="22" t="n"/>
      <c r="O84" s="31" t="n"/>
      <c r="P84" s="22" t="n"/>
      <c r="Q84" s="18" t="n"/>
      <c r="R84" s="30" t="n"/>
      <c r="S84" s="22" t="n"/>
      <c r="T84" s="22" t="n"/>
      <c r="U84" s="22" t="n"/>
      <c r="V84" s="18" t="n"/>
      <c r="W84" s="18" t="n"/>
      <c r="X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30" t="n"/>
      <c r="J85" s="30" t="n"/>
      <c r="K85" s="30" t="n"/>
      <c r="L85" s="22" t="n"/>
      <c r="M85" s="22" t="n"/>
      <c r="N85" s="22" t="n"/>
      <c r="O85" s="31" t="n"/>
      <c r="P85" s="22" t="n"/>
      <c r="Q85" s="18" t="n"/>
      <c r="R85" s="30" t="n"/>
      <c r="S85" s="22" t="n"/>
      <c r="T85" s="22" t="n"/>
      <c r="U85" s="22" t="n"/>
      <c r="V85" s="18" t="n"/>
      <c r="W85" s="18" t="n"/>
      <c r="X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30" t="n"/>
      <c r="J86" s="30" t="n"/>
      <c r="K86" s="30" t="n"/>
      <c r="L86" s="22" t="n"/>
      <c r="M86" s="22" t="n"/>
      <c r="N86" s="22" t="n"/>
      <c r="O86" s="31" t="n"/>
      <c r="P86" s="22" t="n"/>
      <c r="Q86" s="18" t="n"/>
      <c r="R86" s="30" t="n"/>
      <c r="S86" s="22" t="n"/>
      <c r="T86" s="22" t="n"/>
      <c r="U86" s="22" t="n"/>
      <c r="V86" s="18" t="n"/>
      <c r="W86" s="18" t="n"/>
      <c r="X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30" t="n"/>
      <c r="J87" s="30" t="n"/>
      <c r="K87" s="30" t="n"/>
      <c r="L87" s="22" t="n"/>
      <c r="M87" s="22" t="n"/>
      <c r="N87" s="22" t="n"/>
      <c r="O87" s="31" t="n"/>
      <c r="P87" s="22" t="n"/>
      <c r="Q87" s="18" t="n"/>
      <c r="R87" s="30" t="n"/>
      <c r="S87" s="22" t="n"/>
      <c r="T87" s="22" t="n"/>
      <c r="U87" s="22" t="n"/>
      <c r="V87" s="18" t="n"/>
      <c r="W87" s="18" t="n"/>
      <c r="X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30" t="n"/>
      <c r="J88" s="30" t="n"/>
      <c r="K88" s="30" t="n"/>
      <c r="L88" s="22" t="n"/>
      <c r="M88" s="22" t="n"/>
      <c r="N88" s="22" t="n"/>
      <c r="O88" s="31" t="n"/>
      <c r="P88" s="22" t="n"/>
      <c r="Q88" s="18" t="n"/>
      <c r="R88" s="30" t="n"/>
      <c r="S88" s="22" t="n"/>
      <c r="T88" s="22" t="n"/>
      <c r="U88" s="22" t="n"/>
      <c r="V88" s="18" t="n"/>
      <c r="W88" s="18" t="n"/>
      <c r="X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30" t="n"/>
      <c r="J89" s="30" t="n"/>
      <c r="K89" s="30" t="n"/>
      <c r="L89" s="22" t="n"/>
      <c r="M89" s="22" t="n"/>
      <c r="N89" s="22" t="n"/>
      <c r="O89" s="31" t="n"/>
      <c r="P89" s="22" t="n"/>
      <c r="Q89" s="18" t="n"/>
      <c r="R89" s="30" t="n"/>
      <c r="S89" s="22" t="n"/>
      <c r="T89" s="22" t="n"/>
      <c r="U89" s="22" t="n"/>
      <c r="V89" s="18" t="n"/>
      <c r="W89" s="18" t="n"/>
      <c r="X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30" t="n"/>
      <c r="J90" s="30" t="n"/>
      <c r="K90" s="30" t="n"/>
      <c r="L90" s="22" t="n"/>
      <c r="M90" s="22" t="n"/>
      <c r="N90" s="22" t="n"/>
      <c r="O90" s="31" t="n"/>
      <c r="P90" s="22" t="n"/>
      <c r="Q90" s="18" t="n"/>
      <c r="R90" s="30" t="n"/>
      <c r="S90" s="22" t="n"/>
      <c r="T90" s="22" t="n"/>
      <c r="U90" s="22" t="n"/>
      <c r="V90" s="18" t="n"/>
      <c r="W90" s="18" t="n"/>
      <c r="X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30" t="n"/>
      <c r="J91" s="30" t="n"/>
      <c r="K91" s="30" t="n"/>
      <c r="L91" s="22" t="n"/>
      <c r="M91" s="22" t="n"/>
      <c r="N91" s="22" t="n"/>
      <c r="O91" s="31" t="n"/>
      <c r="P91" s="22" t="n"/>
      <c r="Q91" s="18" t="n"/>
      <c r="R91" s="30" t="n"/>
      <c r="S91" s="22" t="n"/>
      <c r="T91" s="22" t="n"/>
      <c r="U91" s="22" t="n"/>
      <c r="V91" s="18" t="n"/>
      <c r="W91" s="18" t="n"/>
      <c r="X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30" t="n"/>
      <c r="J92" s="30" t="n"/>
      <c r="K92" s="30" t="n"/>
      <c r="L92" s="22" t="n"/>
      <c r="M92" s="22" t="n"/>
      <c r="N92" s="22" t="n"/>
      <c r="O92" s="31" t="n"/>
      <c r="P92" s="22" t="n"/>
      <c r="Q92" s="18" t="n"/>
      <c r="R92" s="30" t="n"/>
      <c r="S92" s="22" t="n"/>
      <c r="T92" s="22" t="n"/>
      <c r="U92" s="22" t="n"/>
      <c r="V92" s="18" t="n"/>
      <c r="W92" s="18" t="n"/>
      <c r="X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30" t="n"/>
      <c r="J93" s="30" t="n"/>
      <c r="K93" s="30" t="n"/>
      <c r="L93" s="22" t="n"/>
      <c r="M93" s="22" t="n"/>
      <c r="N93" s="22" t="n"/>
      <c r="O93" s="31" t="n"/>
      <c r="P93" s="22" t="n"/>
      <c r="Q93" s="18" t="n"/>
      <c r="R93" s="30" t="n"/>
      <c r="S93" s="22" t="n"/>
      <c r="T93" s="22" t="n"/>
      <c r="U93" s="22" t="n"/>
      <c r="V93" s="18" t="n"/>
      <c r="W93" s="18" t="n"/>
      <c r="X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30" t="n"/>
      <c r="J94" s="30" t="n"/>
      <c r="K94" s="30" t="n"/>
      <c r="L94" s="22" t="n"/>
      <c r="M94" s="22" t="n"/>
      <c r="N94" s="22" t="n"/>
      <c r="O94" s="31" t="n"/>
      <c r="P94" s="22" t="n"/>
      <c r="Q94" s="18" t="n"/>
      <c r="R94" s="30" t="n"/>
      <c r="S94" s="22" t="n"/>
      <c r="T94" s="22" t="n"/>
      <c r="U94" s="22" t="n"/>
      <c r="V94" s="18" t="n"/>
      <c r="W94" s="18" t="n"/>
      <c r="X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30" t="n"/>
      <c r="J95" s="30" t="n"/>
      <c r="K95" s="30" t="n"/>
      <c r="L95" s="22" t="n"/>
      <c r="M95" s="22" t="n"/>
      <c r="N95" s="22" t="n"/>
      <c r="O95" s="31" t="n"/>
      <c r="P95" s="22" t="n"/>
      <c r="Q95" s="18" t="n"/>
      <c r="R95" s="30" t="n"/>
      <c r="S95" s="22" t="n"/>
      <c r="T95" s="22" t="n"/>
      <c r="U95" s="22" t="n"/>
      <c r="V95" s="18" t="n"/>
      <c r="W95" s="18" t="n"/>
      <c r="X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30" t="n"/>
      <c r="J96" s="30" t="n"/>
      <c r="K96" s="30" t="n"/>
      <c r="L96" s="22" t="n"/>
      <c r="M96" s="22" t="n"/>
      <c r="N96" s="22" t="n"/>
      <c r="O96" s="31" t="n"/>
      <c r="P96" s="22" t="n"/>
      <c r="Q96" s="18" t="n"/>
      <c r="R96" s="30" t="n"/>
      <c r="S96" s="22" t="n"/>
      <c r="T96" s="22" t="n"/>
      <c r="U96" s="22" t="n"/>
      <c r="V96" s="18" t="n"/>
      <c r="W96" s="18" t="n"/>
      <c r="X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30" t="n"/>
      <c r="J97" s="30" t="n"/>
      <c r="K97" s="30" t="n"/>
      <c r="L97" s="22" t="n"/>
      <c r="M97" s="22" t="n"/>
      <c r="N97" s="22" t="n"/>
      <c r="O97" s="31" t="n"/>
      <c r="P97" s="22" t="n"/>
      <c r="Q97" s="18" t="n"/>
      <c r="R97" s="30" t="n"/>
      <c r="S97" s="22" t="n"/>
      <c r="T97" s="22" t="n"/>
      <c r="U97" s="22" t="n"/>
      <c r="V97" s="18" t="n"/>
      <c r="W97" s="18" t="n"/>
      <c r="X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30" t="n"/>
      <c r="J98" s="30" t="n"/>
      <c r="K98" s="30" t="n"/>
      <c r="L98" s="22" t="n"/>
      <c r="M98" s="22" t="n"/>
      <c r="N98" s="22" t="n"/>
      <c r="O98" s="31" t="n"/>
      <c r="P98" s="22" t="n"/>
      <c r="Q98" s="18" t="n"/>
      <c r="R98" s="30" t="n"/>
      <c r="S98" s="22" t="n"/>
      <c r="T98" s="22" t="n"/>
      <c r="U98" s="22" t="n"/>
      <c r="V98" s="18" t="n"/>
      <c r="W98" s="18" t="n"/>
      <c r="X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30" t="n"/>
      <c r="J99" s="30" t="n"/>
      <c r="K99" s="30" t="n"/>
      <c r="L99" s="22" t="n"/>
      <c r="M99" s="22" t="n"/>
      <c r="N99" s="22" t="n"/>
      <c r="O99" s="31" t="n"/>
      <c r="P99" s="22" t="n"/>
      <c r="Q99" s="18" t="n"/>
      <c r="R99" s="30" t="n"/>
      <c r="S99" s="22" t="n"/>
      <c r="T99" s="22" t="n"/>
      <c r="U99" s="22" t="n"/>
      <c r="V99" s="18" t="n"/>
      <c r="W99" s="18" t="n"/>
      <c r="X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30" t="n"/>
      <c r="J100" s="30" t="n"/>
      <c r="K100" s="30" t="n"/>
      <c r="L100" s="22" t="n"/>
      <c r="M100" s="22" t="n"/>
      <c r="N100" s="22" t="n"/>
      <c r="O100" s="31" t="n"/>
      <c r="P100" s="22" t="n"/>
      <c r="Q100" s="18" t="n"/>
      <c r="R100" s="30" t="n"/>
      <c r="S100" s="22" t="n"/>
      <c r="T100" s="22" t="n"/>
      <c r="U100" s="22" t="n"/>
      <c r="V100" s="18" t="n"/>
      <c r="W100" s="18" t="n"/>
      <c r="X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30" t="n"/>
      <c r="J101" s="30" t="n"/>
      <c r="K101" s="30" t="n"/>
      <c r="L101" s="22" t="n"/>
      <c r="M101" s="22" t="n"/>
      <c r="N101" s="22" t="n"/>
      <c r="O101" s="31" t="n"/>
      <c r="P101" s="22" t="n"/>
      <c r="Q101" s="18" t="n"/>
      <c r="R101" s="30" t="n"/>
      <c r="S101" s="22" t="n"/>
      <c r="T101" s="22" t="n"/>
      <c r="U101" s="22" t="n"/>
      <c r="V101" s="18" t="n"/>
      <c r="W101" s="18" t="n"/>
      <c r="X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30" t="n"/>
      <c r="J102" s="30" t="n"/>
      <c r="K102" s="30" t="n"/>
      <c r="L102" s="22" t="n"/>
      <c r="M102" s="22" t="n"/>
      <c r="N102" s="22" t="n"/>
      <c r="O102" s="31" t="n"/>
      <c r="P102" s="22" t="n"/>
      <c r="Q102" s="18" t="n"/>
      <c r="R102" s="30" t="n"/>
      <c r="S102" s="22" t="n"/>
      <c r="T102" s="22" t="n"/>
      <c r="U102" s="22" t="n"/>
      <c r="V102" s="18" t="n"/>
      <c r="W102" s="18" t="n"/>
      <c r="X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30" t="n"/>
      <c r="J103" s="30" t="n"/>
      <c r="K103" s="30" t="n"/>
      <c r="L103" s="22" t="n"/>
      <c r="M103" s="22" t="n"/>
      <c r="N103" s="22" t="n"/>
      <c r="O103" s="31" t="n"/>
      <c r="P103" s="22" t="n"/>
      <c r="Q103" s="18" t="n"/>
      <c r="R103" s="30" t="n"/>
      <c r="S103" s="22" t="n"/>
      <c r="T103" s="22" t="n"/>
      <c r="U103" s="22" t="n"/>
      <c r="V103" s="18" t="n"/>
      <c r="W103" s="18" t="n"/>
      <c r="X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30" t="n"/>
      <c r="J104" s="30" t="n"/>
      <c r="K104" s="30" t="n"/>
      <c r="L104" s="22" t="n"/>
      <c r="M104" s="22" t="n"/>
      <c r="N104" s="22" t="n"/>
      <c r="O104" s="31" t="n"/>
      <c r="P104" s="22" t="n"/>
      <c r="Q104" s="18" t="n"/>
      <c r="R104" s="30" t="n"/>
      <c r="S104" s="22" t="n"/>
      <c r="T104" s="22" t="n"/>
      <c r="U104" s="22" t="n"/>
      <c r="V104" s="18" t="n"/>
      <c r="W104" s="18" t="n"/>
      <c r="X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30" t="n"/>
      <c r="J105" s="30" t="n"/>
      <c r="K105" s="30" t="n"/>
      <c r="L105" s="22" t="n"/>
      <c r="M105" s="22" t="n"/>
      <c r="N105" s="22" t="n"/>
      <c r="O105" s="31" t="n"/>
      <c r="P105" s="22" t="n"/>
      <c r="Q105" s="18" t="n"/>
      <c r="R105" s="30" t="n"/>
      <c r="S105" s="22" t="n"/>
      <c r="T105" s="22" t="n"/>
      <c r="U105" s="22" t="n"/>
      <c r="V105" s="18" t="n"/>
      <c r="W105" s="18" t="n"/>
      <c r="X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30" t="n"/>
      <c r="J106" s="30" t="n"/>
      <c r="K106" s="30" t="n"/>
      <c r="L106" s="22" t="n"/>
      <c r="M106" s="22" t="n"/>
      <c r="N106" s="22" t="n"/>
      <c r="O106" s="31" t="n"/>
      <c r="P106" s="22" t="n"/>
      <c r="Q106" s="18" t="n"/>
      <c r="R106" s="30" t="n"/>
      <c r="S106" s="22" t="n"/>
      <c r="T106" s="22" t="n"/>
      <c r="U106" s="22" t="n"/>
      <c r="V106" s="18" t="n"/>
      <c r="W106" s="18" t="n"/>
      <c r="X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30" t="n"/>
      <c r="J107" s="30" t="n"/>
      <c r="K107" s="30" t="n"/>
      <c r="L107" s="22" t="n"/>
      <c r="M107" s="22" t="n"/>
      <c r="N107" s="22" t="n"/>
      <c r="O107" s="31" t="n"/>
      <c r="P107" s="22" t="n"/>
      <c r="Q107" s="18" t="n"/>
      <c r="R107" s="30" t="n"/>
      <c r="S107" s="22" t="n"/>
      <c r="T107" s="22" t="n"/>
      <c r="U107" s="22" t="n"/>
      <c r="V107" s="18" t="n"/>
      <c r="W107" s="18" t="n"/>
      <c r="X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30" t="n"/>
      <c r="J108" s="30" t="n"/>
      <c r="K108" s="30" t="n"/>
      <c r="L108" s="22" t="n"/>
      <c r="M108" s="22" t="n"/>
      <c r="N108" s="22" t="n"/>
      <c r="O108" s="31" t="n"/>
      <c r="P108" s="22" t="n"/>
      <c r="Q108" s="18" t="n"/>
      <c r="R108" s="30" t="n"/>
      <c r="S108" s="22" t="n"/>
      <c r="T108" s="22" t="n"/>
      <c r="U108" s="22" t="n"/>
      <c r="V108" s="18" t="n"/>
      <c r="W108" s="18" t="n"/>
      <c r="X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30" t="n"/>
      <c r="J109" s="30" t="n"/>
      <c r="K109" s="30" t="n"/>
      <c r="L109" s="22" t="n"/>
      <c r="M109" s="22" t="n"/>
      <c r="N109" s="22" t="n"/>
      <c r="O109" s="31" t="n"/>
      <c r="P109" s="22" t="n"/>
      <c r="Q109" s="18" t="n"/>
      <c r="R109" s="30" t="n"/>
      <c r="S109" s="22" t="n"/>
      <c r="T109" s="22" t="n"/>
      <c r="U109" s="22" t="n"/>
      <c r="V109" s="18" t="n"/>
      <c r="W109" s="18" t="n"/>
      <c r="X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30" t="n"/>
      <c r="J110" s="30" t="n"/>
      <c r="K110" s="30" t="n"/>
      <c r="L110" s="22" t="n"/>
      <c r="M110" s="22" t="n"/>
      <c r="N110" s="22" t="n"/>
      <c r="O110" s="31" t="n"/>
      <c r="P110" s="22" t="n"/>
      <c r="Q110" s="18" t="n"/>
      <c r="R110" s="30" t="n"/>
      <c r="S110" s="22" t="n"/>
      <c r="T110" s="22" t="n"/>
      <c r="U110" s="22" t="n"/>
      <c r="V110" s="18" t="n"/>
      <c r="W110" s="18" t="n"/>
      <c r="X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30" t="n"/>
      <c r="J111" s="30" t="n"/>
      <c r="K111" s="30" t="n"/>
      <c r="L111" s="22" t="n"/>
      <c r="M111" s="22" t="n"/>
      <c r="N111" s="22" t="n"/>
      <c r="O111" s="31" t="n"/>
      <c r="P111" s="22" t="n"/>
      <c r="Q111" s="18" t="n"/>
      <c r="R111" s="30" t="n"/>
      <c r="S111" s="22" t="n"/>
      <c r="T111" s="22" t="n"/>
      <c r="U111" s="22" t="n"/>
      <c r="V111" s="18" t="n"/>
      <c r="W111" s="18" t="n"/>
      <c r="X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30" t="n"/>
      <c r="J112" s="30" t="n"/>
      <c r="K112" s="30" t="n"/>
      <c r="L112" s="22" t="n"/>
      <c r="M112" s="22" t="n"/>
      <c r="N112" s="22" t="n"/>
      <c r="O112" s="31" t="n"/>
      <c r="P112" s="22" t="n"/>
      <c r="Q112" s="18" t="n"/>
      <c r="R112" s="30" t="n"/>
      <c r="S112" s="22" t="n"/>
      <c r="T112" s="22" t="n"/>
      <c r="U112" s="22" t="n"/>
      <c r="V112" s="18" t="n"/>
      <c r="W112" s="18" t="n"/>
      <c r="X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30" t="n"/>
      <c r="J113" s="30" t="n"/>
      <c r="K113" s="30" t="n"/>
      <c r="L113" s="22" t="n"/>
      <c r="M113" s="22" t="n"/>
      <c r="N113" s="22" t="n"/>
      <c r="O113" s="31" t="n"/>
      <c r="P113" s="22" t="n"/>
      <c r="Q113" s="18" t="n"/>
      <c r="R113" s="30" t="n"/>
      <c r="S113" s="22" t="n"/>
      <c r="T113" s="22" t="n"/>
      <c r="U113" s="22" t="n"/>
      <c r="V113" s="18" t="n"/>
      <c r="W113" s="18" t="n"/>
      <c r="X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30" t="n"/>
      <c r="J114" s="30" t="n"/>
      <c r="K114" s="30" t="n"/>
      <c r="L114" s="22" t="n"/>
      <c r="M114" s="22" t="n"/>
      <c r="N114" s="22" t="n"/>
      <c r="O114" s="31" t="n"/>
      <c r="P114" s="22" t="n"/>
      <c r="Q114" s="18" t="n"/>
      <c r="R114" s="30" t="n"/>
      <c r="S114" s="22" t="n"/>
      <c r="T114" s="22" t="n"/>
      <c r="U114" s="22" t="n"/>
      <c r="V114" s="18" t="n"/>
      <c r="W114" s="18" t="n"/>
      <c r="X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30" t="n"/>
      <c r="J115" s="30" t="n"/>
      <c r="K115" s="30" t="n"/>
      <c r="L115" s="22" t="n"/>
      <c r="M115" s="22" t="n"/>
      <c r="N115" s="22" t="n"/>
      <c r="O115" s="31" t="n"/>
      <c r="P115" s="22" t="n"/>
      <c r="Q115" s="18" t="n"/>
      <c r="R115" s="30" t="n"/>
      <c r="S115" s="22" t="n"/>
      <c r="T115" s="22" t="n"/>
      <c r="U115" s="22" t="n"/>
      <c r="V115" s="18" t="n"/>
      <c r="W115" s="18" t="n"/>
      <c r="X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30" t="n"/>
      <c r="J116" s="30" t="n"/>
      <c r="K116" s="30" t="n"/>
      <c r="L116" s="22" t="n"/>
      <c r="M116" s="22" t="n"/>
      <c r="N116" s="22" t="n"/>
      <c r="O116" s="31" t="n"/>
      <c r="P116" s="22" t="n"/>
      <c r="Q116" s="18" t="n"/>
      <c r="R116" s="30" t="n"/>
      <c r="S116" s="22" t="n"/>
      <c r="T116" s="22" t="n"/>
      <c r="U116" s="22" t="n"/>
      <c r="V116" s="18" t="n"/>
      <c r="W116" s="18" t="n"/>
      <c r="X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30" t="n"/>
      <c r="J117" s="30" t="n"/>
      <c r="K117" s="30" t="n"/>
      <c r="L117" s="22" t="n"/>
      <c r="M117" s="22" t="n"/>
      <c r="N117" s="22" t="n"/>
      <c r="O117" s="31" t="n"/>
      <c r="P117" s="22" t="n"/>
      <c r="Q117" s="18" t="n"/>
      <c r="R117" s="30" t="n"/>
      <c r="S117" s="22" t="n"/>
      <c r="T117" s="22" t="n"/>
      <c r="U117" s="22" t="n"/>
      <c r="V117" s="18" t="n"/>
      <c r="W117" s="18" t="n"/>
      <c r="X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30" t="n"/>
      <c r="J118" s="30" t="n"/>
      <c r="K118" s="30" t="n"/>
      <c r="L118" s="22" t="n"/>
      <c r="M118" s="22" t="n"/>
      <c r="N118" s="22" t="n"/>
      <c r="O118" s="31" t="n"/>
      <c r="P118" s="22" t="n"/>
      <c r="Q118" s="18" t="n"/>
      <c r="R118" s="30" t="n"/>
      <c r="S118" s="22" t="n"/>
      <c r="T118" s="22" t="n"/>
      <c r="U118" s="22" t="n"/>
      <c r="V118" s="18" t="n"/>
      <c r="W118" s="18" t="n"/>
      <c r="X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30" t="n"/>
      <c r="J119" s="30" t="n"/>
      <c r="K119" s="30" t="n"/>
      <c r="L119" s="22" t="n"/>
      <c r="M119" s="22" t="n"/>
      <c r="N119" s="22" t="n"/>
      <c r="O119" s="31" t="n"/>
      <c r="P119" s="22" t="n"/>
      <c r="Q119" s="18" t="n"/>
      <c r="R119" s="30" t="n"/>
      <c r="S119" s="22" t="n"/>
      <c r="T119" s="22" t="n"/>
      <c r="U119" s="22" t="n"/>
      <c r="V119" s="18" t="n"/>
      <c r="W119" s="18" t="n"/>
      <c r="X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30" t="n"/>
      <c r="J120" s="30" t="n"/>
      <c r="K120" s="30" t="n"/>
      <c r="L120" s="22" t="n"/>
      <c r="M120" s="22" t="n"/>
      <c r="N120" s="22" t="n"/>
      <c r="O120" s="31" t="n"/>
      <c r="P120" s="22" t="n"/>
      <c r="Q120" s="18" t="n"/>
      <c r="R120" s="30" t="n"/>
      <c r="S120" s="22" t="n"/>
      <c r="T120" s="22" t="n"/>
      <c r="U120" s="22" t="n"/>
      <c r="V120" s="18" t="n"/>
      <c r="W120" s="18" t="n"/>
      <c r="X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30" t="n"/>
      <c r="J121" s="30" t="n"/>
      <c r="K121" s="30" t="n"/>
      <c r="L121" s="22" t="n"/>
      <c r="M121" s="22" t="n"/>
      <c r="N121" s="22" t="n"/>
      <c r="O121" s="31" t="n"/>
      <c r="P121" s="22" t="n"/>
      <c r="Q121" s="18" t="n"/>
      <c r="R121" s="30" t="n"/>
      <c r="S121" s="22" t="n"/>
      <c r="T121" s="22" t="n"/>
      <c r="U121" s="22" t="n"/>
      <c r="V121" s="18" t="n"/>
      <c r="W121" s="18" t="n"/>
      <c r="X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30" t="n"/>
      <c r="J122" s="30" t="n"/>
      <c r="K122" s="30" t="n"/>
      <c r="L122" s="22" t="n"/>
      <c r="M122" s="22" t="n"/>
      <c r="N122" s="22" t="n"/>
      <c r="O122" s="31" t="n"/>
      <c r="P122" s="22" t="n"/>
      <c r="Q122" s="18" t="n"/>
      <c r="R122" s="30" t="n"/>
      <c r="S122" s="22" t="n"/>
      <c r="T122" s="22" t="n"/>
      <c r="U122" s="22" t="n"/>
      <c r="V122" s="18" t="n"/>
      <c r="W122" s="18" t="n"/>
      <c r="X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30" t="n"/>
      <c r="J123" s="30" t="n"/>
      <c r="K123" s="30" t="n"/>
      <c r="L123" s="22" t="n"/>
      <c r="M123" s="22" t="n"/>
      <c r="N123" s="22" t="n"/>
      <c r="O123" s="31" t="n"/>
      <c r="P123" s="22" t="n"/>
      <c r="Q123" s="18" t="n"/>
      <c r="R123" s="30" t="n"/>
      <c r="S123" s="22" t="n"/>
      <c r="T123" s="22" t="n"/>
      <c r="U123" s="22" t="n"/>
      <c r="V123" s="18" t="n"/>
      <c r="W123" s="18" t="n"/>
      <c r="X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30" t="n"/>
      <c r="J124" s="30" t="n"/>
      <c r="K124" s="30" t="n"/>
      <c r="L124" s="22" t="n"/>
      <c r="M124" s="22" t="n"/>
      <c r="N124" s="22" t="n"/>
      <c r="O124" s="31" t="n"/>
      <c r="P124" s="22" t="n"/>
      <c r="Q124" s="18" t="n"/>
      <c r="R124" s="30" t="n"/>
      <c r="S124" s="22" t="n"/>
      <c r="T124" s="22" t="n"/>
      <c r="U124" s="22" t="n"/>
      <c r="V124" s="18" t="n"/>
      <c r="W124" s="18" t="n"/>
      <c r="X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30" t="n"/>
      <c r="J125" s="30" t="n"/>
      <c r="K125" s="30" t="n"/>
      <c r="L125" s="22" t="n"/>
      <c r="M125" s="22" t="n"/>
      <c r="N125" s="22" t="n"/>
      <c r="O125" s="31" t="n"/>
      <c r="P125" s="22" t="n"/>
      <c r="Q125" s="18" t="n"/>
      <c r="R125" s="30" t="n"/>
      <c r="S125" s="22" t="n"/>
      <c r="T125" s="22" t="n"/>
      <c r="U125" s="22" t="n"/>
      <c r="V125" s="18" t="n"/>
      <c r="W125" s="18" t="n"/>
      <c r="X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30" t="n"/>
      <c r="J126" s="30" t="n"/>
      <c r="K126" s="30" t="n"/>
      <c r="L126" s="22" t="n"/>
      <c r="M126" s="22" t="n"/>
      <c r="N126" s="22" t="n"/>
      <c r="O126" s="31" t="n"/>
      <c r="P126" s="22" t="n"/>
      <c r="Q126" s="18" t="n"/>
      <c r="R126" s="30" t="n"/>
      <c r="S126" s="22" t="n"/>
      <c r="T126" s="22" t="n"/>
      <c r="U126" s="22" t="n"/>
      <c r="V126" s="18" t="n"/>
      <c r="W126" s="18" t="n"/>
      <c r="X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30" t="n"/>
      <c r="J127" s="30" t="n"/>
      <c r="K127" s="30" t="n"/>
      <c r="L127" s="22" t="n"/>
      <c r="M127" s="22" t="n"/>
      <c r="N127" s="22" t="n"/>
      <c r="O127" s="31" t="n"/>
      <c r="P127" s="22" t="n"/>
      <c r="Q127" s="18" t="n"/>
      <c r="R127" s="30" t="n"/>
      <c r="S127" s="22" t="n"/>
      <c r="T127" s="22" t="n"/>
      <c r="U127" s="22" t="n"/>
      <c r="V127" s="18" t="n"/>
      <c r="W127" s="18" t="n"/>
      <c r="X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30" t="n"/>
      <c r="J128" s="30" t="n"/>
      <c r="K128" s="30" t="n"/>
      <c r="L128" s="22" t="n"/>
      <c r="M128" s="22" t="n"/>
      <c r="N128" s="22" t="n"/>
      <c r="O128" s="31" t="n"/>
      <c r="P128" s="22" t="n"/>
      <c r="Q128" s="18" t="n"/>
      <c r="R128" s="30" t="n"/>
      <c r="S128" s="22" t="n"/>
      <c r="T128" s="22" t="n"/>
      <c r="U128" s="22" t="n"/>
      <c r="V128" s="18" t="n"/>
      <c r="W128" s="18" t="n"/>
      <c r="X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30" t="n"/>
      <c r="J129" s="30" t="n"/>
      <c r="K129" s="30" t="n"/>
      <c r="L129" s="22" t="n"/>
      <c r="M129" s="22" t="n"/>
      <c r="N129" s="22" t="n"/>
      <c r="O129" s="31" t="n"/>
      <c r="P129" s="22" t="n"/>
      <c r="Q129" s="18" t="n"/>
      <c r="R129" s="30" t="n"/>
      <c r="S129" s="22" t="n"/>
      <c r="T129" s="22" t="n"/>
      <c r="U129" s="22" t="n"/>
      <c r="V129" s="18" t="n"/>
      <c r="W129" s="18" t="n"/>
      <c r="X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30" t="n"/>
      <c r="J130" s="30" t="n"/>
      <c r="K130" s="30" t="n"/>
      <c r="L130" s="22" t="n"/>
      <c r="M130" s="22" t="n"/>
      <c r="N130" s="22" t="n"/>
      <c r="O130" s="31" t="n"/>
      <c r="P130" s="22" t="n"/>
      <c r="Q130" s="18" t="n"/>
      <c r="R130" s="30" t="n"/>
      <c r="S130" s="22" t="n"/>
      <c r="T130" s="22" t="n"/>
      <c r="U130" s="22" t="n"/>
      <c r="V130" s="18" t="n"/>
      <c r="W130" s="18" t="n"/>
      <c r="X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30" t="n"/>
      <c r="J131" s="30" t="n"/>
      <c r="K131" s="30" t="n"/>
      <c r="L131" s="22" t="n"/>
      <c r="M131" s="22" t="n"/>
      <c r="N131" s="22" t="n"/>
      <c r="O131" s="31" t="n"/>
      <c r="P131" s="22" t="n"/>
      <c r="Q131" s="18" t="n"/>
      <c r="R131" s="30" t="n"/>
      <c r="S131" s="22" t="n"/>
      <c r="T131" s="22" t="n"/>
      <c r="U131" s="22" t="n"/>
      <c r="V131" s="18" t="n"/>
      <c r="W131" s="18" t="n"/>
      <c r="X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30" t="n"/>
      <c r="J132" s="30" t="n"/>
      <c r="K132" s="30" t="n"/>
      <c r="L132" s="22" t="n"/>
      <c r="M132" s="22" t="n"/>
      <c r="N132" s="22" t="n"/>
      <c r="O132" s="31" t="n"/>
      <c r="P132" s="22" t="n"/>
      <c r="Q132" s="18" t="n"/>
      <c r="R132" s="30" t="n"/>
      <c r="S132" s="22" t="n"/>
      <c r="T132" s="22" t="n"/>
      <c r="U132" s="22" t="n"/>
      <c r="V132" s="18" t="n"/>
      <c r="W132" s="18" t="n"/>
      <c r="X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30" t="n"/>
      <c r="J133" s="30" t="n"/>
      <c r="K133" s="30" t="n"/>
      <c r="L133" s="22" t="n"/>
      <c r="M133" s="22" t="n"/>
      <c r="N133" s="22" t="n"/>
      <c r="O133" s="31" t="n"/>
      <c r="P133" s="22" t="n"/>
      <c r="Q133" s="18" t="n"/>
      <c r="R133" s="30" t="n"/>
      <c r="S133" s="22" t="n"/>
      <c r="T133" s="22" t="n"/>
      <c r="U133" s="22" t="n"/>
      <c r="V133" s="18" t="n"/>
      <c r="W133" s="18" t="n"/>
      <c r="X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30" t="n"/>
      <c r="J134" s="30" t="n"/>
      <c r="K134" s="30" t="n"/>
      <c r="L134" s="22" t="n"/>
      <c r="M134" s="22" t="n"/>
      <c r="N134" s="22" t="n"/>
      <c r="O134" s="31" t="n"/>
      <c r="P134" s="22" t="n"/>
      <c r="Q134" s="18" t="n"/>
      <c r="R134" s="30" t="n"/>
      <c r="S134" s="22" t="n"/>
      <c r="T134" s="22" t="n"/>
      <c r="U134" s="22" t="n"/>
      <c r="V134" s="18" t="n"/>
      <c r="W134" s="18" t="n"/>
      <c r="X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30" t="n"/>
      <c r="J135" s="30" t="n"/>
      <c r="K135" s="30" t="n"/>
      <c r="L135" s="22" t="n"/>
      <c r="M135" s="22" t="n"/>
      <c r="N135" s="22" t="n"/>
      <c r="O135" s="31" t="n"/>
      <c r="P135" s="22" t="n"/>
      <c r="Q135" s="18" t="n"/>
      <c r="R135" s="30" t="n"/>
      <c r="S135" s="22" t="n"/>
      <c r="T135" s="22" t="n"/>
      <c r="U135" s="22" t="n"/>
      <c r="V135" s="18" t="n"/>
      <c r="W135" s="18" t="n"/>
      <c r="X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30" t="n"/>
      <c r="J136" s="30" t="n"/>
      <c r="K136" s="30" t="n"/>
      <c r="L136" s="22" t="n"/>
      <c r="M136" s="22" t="n"/>
      <c r="N136" s="22" t="n"/>
      <c r="O136" s="31" t="n"/>
      <c r="P136" s="22" t="n"/>
      <c r="Q136" s="18" t="n"/>
      <c r="R136" s="30" t="n"/>
      <c r="S136" s="22" t="n"/>
      <c r="T136" s="22" t="n"/>
      <c r="U136" s="22" t="n"/>
      <c r="V136" s="18" t="n"/>
      <c r="W136" s="18" t="n"/>
      <c r="X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30" t="n"/>
      <c r="J137" s="30" t="n"/>
      <c r="K137" s="30" t="n"/>
      <c r="L137" s="22" t="n"/>
      <c r="M137" s="22" t="n"/>
      <c r="N137" s="22" t="n"/>
      <c r="O137" s="31" t="n"/>
      <c r="P137" s="22" t="n"/>
      <c r="Q137" s="18" t="n"/>
      <c r="R137" s="30" t="n"/>
      <c r="S137" s="22" t="n"/>
      <c r="T137" s="22" t="n"/>
      <c r="U137" s="22" t="n"/>
      <c r="V137" s="18" t="n"/>
      <c r="W137" s="18" t="n"/>
      <c r="X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30" t="n"/>
      <c r="J138" s="30" t="n"/>
      <c r="K138" s="30" t="n"/>
      <c r="L138" s="22" t="n"/>
      <c r="M138" s="22" t="n"/>
      <c r="N138" s="22" t="n"/>
      <c r="O138" s="31" t="n"/>
      <c r="P138" s="22" t="n"/>
      <c r="Q138" s="18" t="n"/>
      <c r="R138" s="30" t="n"/>
      <c r="S138" s="22" t="n"/>
      <c r="T138" s="22" t="n"/>
      <c r="U138" s="22" t="n"/>
      <c r="V138" s="18" t="n"/>
      <c r="W138" s="18" t="n"/>
      <c r="X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30" t="n"/>
      <c r="J139" s="30" t="n"/>
      <c r="K139" s="30" t="n"/>
      <c r="L139" s="22" t="n"/>
      <c r="M139" s="22" t="n"/>
      <c r="N139" s="22" t="n"/>
      <c r="O139" s="31" t="n"/>
      <c r="P139" s="22" t="n"/>
      <c r="Q139" s="18" t="n"/>
      <c r="R139" s="30" t="n"/>
      <c r="S139" s="22" t="n"/>
      <c r="T139" s="22" t="n"/>
      <c r="U139" s="22" t="n"/>
      <c r="V139" s="18" t="n"/>
      <c r="W139" s="18" t="n"/>
      <c r="X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30" t="n"/>
      <c r="J140" s="30" t="n"/>
      <c r="K140" s="30" t="n"/>
      <c r="L140" s="22" t="n"/>
      <c r="M140" s="22" t="n"/>
      <c r="N140" s="22" t="n"/>
      <c r="O140" s="31" t="n"/>
      <c r="P140" s="22" t="n"/>
      <c r="Q140" s="18" t="n"/>
      <c r="R140" s="30" t="n"/>
      <c r="S140" s="22" t="n"/>
      <c r="T140" s="22" t="n"/>
      <c r="U140" s="22" t="n"/>
      <c r="V140" s="18" t="n"/>
      <c r="W140" s="18" t="n"/>
      <c r="X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30" t="n"/>
      <c r="J141" s="30" t="n"/>
      <c r="K141" s="30" t="n"/>
      <c r="L141" s="22" t="n"/>
      <c r="M141" s="22" t="n"/>
      <c r="N141" s="22" t="n"/>
      <c r="O141" s="31" t="n"/>
      <c r="P141" s="22" t="n"/>
      <c r="Q141" s="18" t="n"/>
      <c r="R141" s="30" t="n"/>
      <c r="S141" s="22" t="n"/>
      <c r="T141" s="22" t="n"/>
      <c r="U141" s="22" t="n"/>
      <c r="V141" s="18" t="n"/>
      <c r="W141" s="18" t="n"/>
      <c r="X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30" t="n"/>
      <c r="J142" s="30" t="n"/>
      <c r="K142" s="30" t="n"/>
      <c r="L142" s="22" t="n"/>
      <c r="M142" s="22" t="n"/>
      <c r="N142" s="22" t="n"/>
      <c r="O142" s="31" t="n"/>
      <c r="P142" s="22" t="n"/>
      <c r="Q142" s="18" t="n"/>
      <c r="R142" s="30" t="n"/>
      <c r="S142" s="22" t="n"/>
      <c r="T142" s="22" t="n"/>
      <c r="U142" s="22" t="n"/>
      <c r="V142" s="18" t="n"/>
      <c r="W142" s="18" t="n"/>
      <c r="X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30" t="n"/>
      <c r="J143" s="30" t="n"/>
      <c r="K143" s="30" t="n"/>
      <c r="L143" s="22" t="n"/>
      <c r="M143" s="22" t="n"/>
      <c r="N143" s="22" t="n"/>
      <c r="O143" s="31" t="n"/>
      <c r="P143" s="22" t="n"/>
      <c r="Q143" s="18" t="n"/>
      <c r="R143" s="30" t="n"/>
      <c r="S143" s="22" t="n"/>
      <c r="T143" s="22" t="n"/>
      <c r="U143" s="22" t="n"/>
      <c r="V143" s="18" t="n"/>
      <c r="W143" s="18" t="n"/>
      <c r="X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30" t="n"/>
      <c r="J144" s="30" t="n"/>
      <c r="K144" s="30" t="n"/>
      <c r="L144" s="22" t="n"/>
      <c r="M144" s="22" t="n"/>
      <c r="N144" s="22" t="n"/>
      <c r="O144" s="31" t="n"/>
      <c r="P144" s="22" t="n"/>
      <c r="Q144" s="18" t="n"/>
      <c r="R144" s="30" t="n"/>
      <c r="S144" s="22" t="n"/>
      <c r="T144" s="22" t="n"/>
      <c r="U144" s="22" t="n"/>
      <c r="V144" s="18" t="n"/>
      <c r="W144" s="18" t="n"/>
      <c r="X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30" t="n"/>
      <c r="J145" s="30" t="n"/>
      <c r="K145" s="30" t="n"/>
      <c r="L145" s="22" t="n"/>
      <c r="M145" s="22" t="n"/>
      <c r="N145" s="22" t="n"/>
      <c r="O145" s="31" t="n"/>
      <c r="P145" s="22" t="n"/>
      <c r="Q145" s="18" t="n"/>
      <c r="R145" s="30" t="n"/>
      <c r="S145" s="22" t="n"/>
      <c r="T145" s="22" t="n"/>
      <c r="U145" s="22" t="n"/>
      <c r="V145" s="18" t="n"/>
      <c r="W145" s="18" t="n"/>
      <c r="X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30" t="n"/>
      <c r="J146" s="30" t="n"/>
      <c r="K146" s="30" t="n"/>
      <c r="L146" s="22" t="n"/>
      <c r="M146" s="22" t="n"/>
      <c r="N146" s="22" t="n"/>
      <c r="O146" s="31" t="n"/>
      <c r="P146" s="22" t="n"/>
      <c r="Q146" s="18" t="n"/>
      <c r="R146" s="30" t="n"/>
      <c r="S146" s="22" t="n"/>
      <c r="T146" s="22" t="n"/>
      <c r="U146" s="22" t="n"/>
      <c r="V146" s="18" t="n"/>
      <c r="W146" s="18" t="n"/>
      <c r="X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30" t="n"/>
      <c r="J147" s="30" t="n"/>
      <c r="K147" s="30" t="n"/>
      <c r="L147" s="22" t="n"/>
      <c r="M147" s="22" t="n"/>
      <c r="N147" s="22" t="n"/>
      <c r="O147" s="31" t="n"/>
      <c r="P147" s="22" t="n"/>
      <c r="Q147" s="18" t="n"/>
      <c r="R147" s="30" t="n"/>
      <c r="S147" s="22" t="n"/>
      <c r="T147" s="22" t="n"/>
      <c r="U147" s="22" t="n"/>
      <c r="V147" s="18" t="n"/>
      <c r="W147" s="18" t="n"/>
      <c r="X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30" t="n"/>
      <c r="J148" s="30" t="n"/>
      <c r="K148" s="30" t="n"/>
      <c r="L148" s="22" t="n"/>
      <c r="M148" s="22" t="n"/>
      <c r="N148" s="22" t="n"/>
      <c r="O148" s="31" t="n"/>
      <c r="P148" s="22" t="n"/>
      <c r="Q148" s="18" t="n"/>
      <c r="R148" s="30" t="n"/>
      <c r="S148" s="22" t="n"/>
      <c r="T148" s="22" t="n"/>
      <c r="U148" s="22" t="n"/>
      <c r="V148" s="18" t="n"/>
      <c r="W148" s="18" t="n"/>
      <c r="X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30" t="n"/>
      <c r="J149" s="30" t="n"/>
      <c r="K149" s="30" t="n"/>
      <c r="L149" s="22" t="n"/>
      <c r="M149" s="22" t="n"/>
      <c r="N149" s="22" t="n"/>
      <c r="O149" s="31" t="n"/>
      <c r="P149" s="22" t="n"/>
      <c r="Q149" s="18" t="n"/>
      <c r="R149" s="30" t="n"/>
      <c r="S149" s="22" t="n"/>
      <c r="T149" s="22" t="n"/>
      <c r="U149" s="22" t="n"/>
      <c r="V149" s="18" t="n"/>
      <c r="W149" s="18" t="n"/>
      <c r="X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30" t="n"/>
      <c r="J150" s="30" t="n"/>
      <c r="K150" s="30" t="n"/>
      <c r="L150" s="22" t="n"/>
      <c r="M150" s="22" t="n"/>
      <c r="N150" s="22" t="n"/>
      <c r="O150" s="31" t="n"/>
      <c r="P150" s="22" t="n"/>
      <c r="Q150" s="18" t="n"/>
      <c r="R150" s="30" t="n"/>
      <c r="S150" s="22" t="n"/>
      <c r="T150" s="22" t="n"/>
      <c r="U150" s="22" t="n"/>
      <c r="V150" s="18" t="n"/>
      <c r="W150" s="18" t="n"/>
      <c r="X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30" t="n"/>
      <c r="J151" s="30" t="n"/>
      <c r="K151" s="30" t="n"/>
      <c r="L151" s="22" t="n"/>
      <c r="M151" s="22" t="n"/>
      <c r="N151" s="22" t="n"/>
      <c r="O151" s="31" t="n"/>
      <c r="P151" s="22" t="n"/>
      <c r="Q151" s="18" t="n"/>
      <c r="R151" s="30" t="n"/>
      <c r="S151" s="22" t="n"/>
      <c r="T151" s="22" t="n"/>
      <c r="U151" s="22" t="n"/>
      <c r="V151" s="18" t="n"/>
      <c r="W151" s="18" t="n"/>
      <c r="X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30" t="n"/>
      <c r="J152" s="30" t="n"/>
      <c r="K152" s="30" t="n"/>
      <c r="L152" s="22" t="n"/>
      <c r="M152" s="22" t="n"/>
      <c r="N152" s="22" t="n"/>
      <c r="O152" s="31" t="n"/>
      <c r="P152" s="22" t="n"/>
      <c r="Q152" s="18" t="n"/>
      <c r="R152" s="30" t="n"/>
      <c r="S152" s="22" t="n"/>
      <c r="T152" s="22" t="n"/>
      <c r="U152" s="22" t="n"/>
      <c r="V152" s="18" t="n"/>
      <c r="W152" s="18" t="n"/>
      <c r="X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30" t="n"/>
      <c r="J153" s="30" t="n"/>
      <c r="K153" s="30" t="n"/>
      <c r="L153" s="22" t="n"/>
      <c r="M153" s="22" t="n"/>
      <c r="N153" s="22" t="n"/>
      <c r="O153" s="31" t="n"/>
      <c r="P153" s="22" t="n"/>
      <c r="Q153" s="18" t="n"/>
      <c r="R153" s="30" t="n"/>
      <c r="S153" s="22" t="n"/>
      <c r="T153" s="22" t="n"/>
      <c r="U153" s="22" t="n"/>
      <c r="V153" s="18" t="n"/>
      <c r="W153" s="18" t="n"/>
      <c r="X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30" t="n"/>
      <c r="J154" s="30" t="n"/>
      <c r="K154" s="30" t="n"/>
      <c r="L154" s="22" t="n"/>
      <c r="M154" s="22" t="n"/>
      <c r="N154" s="22" t="n"/>
      <c r="O154" s="31" t="n"/>
      <c r="P154" s="22" t="n"/>
      <c r="Q154" s="18" t="n"/>
      <c r="R154" s="30" t="n"/>
      <c r="S154" s="22" t="n"/>
      <c r="T154" s="22" t="n"/>
      <c r="U154" s="22" t="n"/>
      <c r="V154" s="18" t="n"/>
      <c r="W154" s="18" t="n"/>
      <c r="X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30" t="n"/>
      <c r="J155" s="30" t="n"/>
      <c r="K155" s="30" t="n"/>
      <c r="L155" s="22" t="n"/>
      <c r="M155" s="22" t="n"/>
      <c r="N155" s="22" t="n"/>
      <c r="O155" s="31" t="n"/>
      <c r="P155" s="22" t="n"/>
      <c r="Q155" s="18" t="n"/>
      <c r="R155" s="30" t="n"/>
      <c r="S155" s="22" t="n"/>
      <c r="T155" s="22" t="n"/>
      <c r="U155" s="22" t="n"/>
      <c r="V155" s="18" t="n"/>
      <c r="W155" s="18" t="n"/>
      <c r="X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30" t="n"/>
      <c r="J156" s="30" t="n"/>
      <c r="K156" s="30" t="n"/>
      <c r="L156" s="22" t="n"/>
      <c r="M156" s="22" t="n"/>
      <c r="N156" s="22" t="n"/>
      <c r="O156" s="31" t="n"/>
      <c r="P156" s="22" t="n"/>
      <c r="Q156" s="18" t="n"/>
      <c r="R156" s="30" t="n"/>
      <c r="S156" s="22" t="n"/>
      <c r="T156" s="22" t="n"/>
      <c r="U156" s="22" t="n"/>
      <c r="V156" s="18" t="n"/>
      <c r="W156" s="18" t="n"/>
      <c r="X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30" t="n"/>
      <c r="J157" s="30" t="n"/>
      <c r="K157" s="30" t="n"/>
      <c r="L157" s="22" t="n"/>
      <c r="M157" s="22" t="n"/>
      <c r="N157" s="22" t="n"/>
      <c r="O157" s="31" t="n"/>
      <c r="P157" s="22" t="n"/>
      <c r="Q157" s="18" t="n"/>
      <c r="R157" s="30" t="n"/>
      <c r="S157" s="22" t="n"/>
      <c r="T157" s="22" t="n"/>
      <c r="U157" s="22" t="n"/>
      <c r="V157" s="18" t="n"/>
      <c r="W157" s="18" t="n"/>
      <c r="X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30" t="n"/>
      <c r="J158" s="30" t="n"/>
      <c r="K158" s="30" t="n"/>
      <c r="L158" s="22" t="n"/>
      <c r="M158" s="22" t="n"/>
      <c r="N158" s="22" t="n"/>
      <c r="O158" s="31" t="n"/>
      <c r="P158" s="22" t="n"/>
      <c r="Q158" s="18" t="n"/>
      <c r="R158" s="30" t="n"/>
      <c r="S158" s="22" t="n"/>
      <c r="T158" s="22" t="n"/>
      <c r="U158" s="22" t="n"/>
      <c r="V158" s="18" t="n"/>
      <c r="W158" s="18" t="n"/>
      <c r="X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30" t="n"/>
      <c r="J159" s="30" t="n"/>
      <c r="K159" s="30" t="n"/>
      <c r="L159" s="22" t="n"/>
      <c r="M159" s="22" t="n"/>
      <c r="N159" s="22" t="n"/>
      <c r="O159" s="31" t="n"/>
      <c r="P159" s="22" t="n"/>
      <c r="Q159" s="18" t="n"/>
      <c r="R159" s="30" t="n"/>
      <c r="S159" s="22" t="n"/>
      <c r="T159" s="22" t="n"/>
      <c r="U159" s="22" t="n"/>
      <c r="V159" s="18" t="n"/>
      <c r="W159" s="18" t="n"/>
      <c r="X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30" t="n"/>
      <c r="J160" s="30" t="n"/>
      <c r="K160" s="30" t="n"/>
      <c r="L160" s="22" t="n"/>
      <c r="M160" s="22" t="n"/>
      <c r="N160" s="22" t="n"/>
      <c r="O160" s="31" t="n"/>
      <c r="P160" s="22" t="n"/>
      <c r="Q160" s="18" t="n"/>
      <c r="R160" s="30" t="n"/>
      <c r="S160" s="22" t="n"/>
      <c r="T160" s="22" t="n"/>
      <c r="U160" s="22" t="n"/>
      <c r="V160" s="18" t="n"/>
      <c r="W160" s="18" t="n"/>
      <c r="X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30" t="n"/>
      <c r="J161" s="30" t="n"/>
      <c r="K161" s="30" t="n"/>
      <c r="L161" s="22" t="n"/>
      <c r="M161" s="22" t="n"/>
      <c r="N161" s="22" t="n"/>
      <c r="O161" s="31" t="n"/>
      <c r="P161" s="22" t="n"/>
      <c r="Q161" s="18" t="n"/>
      <c r="R161" s="30" t="n"/>
      <c r="S161" s="22" t="n"/>
      <c r="T161" s="22" t="n"/>
      <c r="U161" s="22" t="n"/>
      <c r="V161" s="18" t="n"/>
      <c r="W161" s="18" t="n"/>
      <c r="X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30" t="n"/>
      <c r="J162" s="30" t="n"/>
      <c r="K162" s="30" t="n"/>
      <c r="L162" s="22" t="n"/>
      <c r="M162" s="22" t="n"/>
      <c r="N162" s="22" t="n"/>
      <c r="O162" s="31" t="n"/>
      <c r="P162" s="22" t="n"/>
      <c r="Q162" s="18" t="n"/>
      <c r="R162" s="30" t="n"/>
      <c r="S162" s="22" t="n"/>
      <c r="T162" s="22" t="n"/>
      <c r="U162" s="22" t="n"/>
      <c r="V162" s="18" t="n"/>
      <c r="W162" s="18" t="n"/>
      <c r="X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30" t="n"/>
      <c r="J163" s="30" t="n"/>
      <c r="K163" s="30" t="n"/>
      <c r="L163" s="22" t="n"/>
      <c r="M163" s="22" t="n"/>
      <c r="N163" s="22" t="n"/>
      <c r="O163" s="31" t="n"/>
      <c r="P163" s="22" t="n"/>
      <c r="Q163" s="18" t="n"/>
      <c r="R163" s="30" t="n"/>
      <c r="S163" s="22" t="n"/>
      <c r="T163" s="22" t="n"/>
      <c r="U163" s="22" t="n"/>
      <c r="V163" s="18" t="n"/>
      <c r="W163" s="18" t="n"/>
      <c r="X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30" t="n"/>
      <c r="J164" s="30" t="n"/>
      <c r="K164" s="30" t="n"/>
      <c r="L164" s="22" t="n"/>
      <c r="M164" s="22" t="n"/>
      <c r="N164" s="22" t="n"/>
      <c r="O164" s="31" t="n"/>
      <c r="P164" s="22" t="n"/>
      <c r="Q164" s="18" t="n"/>
      <c r="R164" s="30" t="n"/>
      <c r="S164" s="22" t="n"/>
      <c r="T164" s="22" t="n"/>
      <c r="U164" s="22" t="n"/>
      <c r="V164" s="18" t="n"/>
      <c r="W164" s="18" t="n"/>
      <c r="X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30" t="n"/>
      <c r="J165" s="30" t="n"/>
      <c r="K165" s="30" t="n"/>
      <c r="L165" s="22" t="n"/>
      <c r="M165" s="22" t="n"/>
      <c r="N165" s="22" t="n"/>
      <c r="O165" s="31" t="n"/>
      <c r="P165" s="22" t="n"/>
      <c r="Q165" s="18" t="n"/>
      <c r="R165" s="30" t="n"/>
      <c r="S165" s="22" t="n"/>
      <c r="T165" s="22" t="n"/>
      <c r="U165" s="22" t="n"/>
      <c r="V165" s="18" t="n"/>
      <c r="W165" s="18" t="n"/>
      <c r="X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30" t="n"/>
      <c r="J166" s="30" t="n"/>
      <c r="K166" s="30" t="n"/>
      <c r="L166" s="22" t="n"/>
      <c r="M166" s="22" t="n"/>
      <c r="N166" s="22" t="n"/>
      <c r="O166" s="31" t="n"/>
      <c r="P166" s="22" t="n"/>
      <c r="Q166" s="18" t="n"/>
      <c r="R166" s="30" t="n"/>
      <c r="S166" s="22" t="n"/>
      <c r="T166" s="22" t="n"/>
      <c r="U166" s="22" t="n"/>
      <c r="V166" s="18" t="n"/>
      <c r="W166" s="18" t="n"/>
      <c r="X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30" t="n"/>
      <c r="J167" s="30" t="n"/>
      <c r="K167" s="30" t="n"/>
      <c r="L167" s="22" t="n"/>
      <c r="M167" s="22" t="n"/>
      <c r="N167" s="22" t="n"/>
      <c r="O167" s="31" t="n"/>
      <c r="P167" s="22" t="n"/>
      <c r="Q167" s="18" t="n"/>
      <c r="R167" s="30" t="n"/>
      <c r="S167" s="22" t="n"/>
      <c r="T167" s="22" t="n"/>
      <c r="U167" s="22" t="n"/>
      <c r="V167" s="18" t="n"/>
      <c r="W167" s="18" t="n"/>
      <c r="X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30" t="n"/>
      <c r="J168" s="30" t="n"/>
      <c r="K168" s="30" t="n"/>
      <c r="L168" s="22" t="n"/>
      <c r="M168" s="22" t="n"/>
      <c r="N168" s="22" t="n"/>
      <c r="O168" s="31" t="n"/>
      <c r="P168" s="22" t="n"/>
      <c r="Q168" s="18" t="n"/>
      <c r="R168" s="30" t="n"/>
      <c r="S168" s="22" t="n"/>
      <c r="T168" s="22" t="n"/>
      <c r="U168" s="22" t="n"/>
      <c r="V168" s="18" t="n"/>
      <c r="W168" s="18" t="n"/>
      <c r="X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30" t="n"/>
      <c r="J169" s="30" t="n"/>
      <c r="K169" s="30" t="n"/>
      <c r="L169" s="22" t="n"/>
      <c r="M169" s="22" t="n"/>
      <c r="N169" s="22" t="n"/>
      <c r="O169" s="31" t="n"/>
      <c r="P169" s="22" t="n"/>
      <c r="Q169" s="18" t="n"/>
      <c r="R169" s="30" t="n"/>
      <c r="S169" s="22" t="n"/>
      <c r="T169" s="22" t="n"/>
      <c r="U169" s="22" t="n"/>
      <c r="V169" s="18" t="n"/>
      <c r="W169" s="18" t="n"/>
      <c r="X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30" t="n"/>
      <c r="J170" s="30" t="n"/>
      <c r="K170" s="30" t="n"/>
      <c r="L170" s="22" t="n"/>
      <c r="M170" s="22" t="n"/>
      <c r="N170" s="22" t="n"/>
      <c r="O170" s="31" t="n"/>
      <c r="P170" s="22" t="n"/>
      <c r="Q170" s="18" t="n"/>
      <c r="R170" s="30" t="n"/>
      <c r="S170" s="22" t="n"/>
      <c r="T170" s="22" t="n"/>
      <c r="U170" s="22" t="n"/>
      <c r="V170" s="18" t="n"/>
      <c r="W170" s="18" t="n"/>
      <c r="X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30" t="n"/>
      <c r="J171" s="30" t="n"/>
      <c r="K171" s="30" t="n"/>
      <c r="L171" s="22" t="n"/>
      <c r="M171" s="22" t="n"/>
      <c r="N171" s="22" t="n"/>
      <c r="O171" s="31" t="n"/>
      <c r="P171" s="22" t="n"/>
      <c r="Q171" s="18" t="n"/>
      <c r="R171" s="30" t="n"/>
      <c r="S171" s="22" t="n"/>
      <c r="T171" s="22" t="n"/>
      <c r="U171" s="22" t="n"/>
      <c r="V171" s="18" t="n"/>
      <c r="W171" s="18" t="n"/>
      <c r="X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30" t="n"/>
      <c r="J172" s="30" t="n"/>
      <c r="K172" s="30" t="n"/>
      <c r="L172" s="22" t="n"/>
      <c r="M172" s="22" t="n"/>
      <c r="N172" s="22" t="n"/>
      <c r="O172" s="31" t="n"/>
      <c r="P172" s="22" t="n"/>
      <c r="Q172" s="18" t="n"/>
      <c r="R172" s="30" t="n"/>
      <c r="S172" s="22" t="n"/>
      <c r="T172" s="22" t="n"/>
      <c r="U172" s="22" t="n"/>
      <c r="V172" s="18" t="n"/>
      <c r="W172" s="18" t="n"/>
      <c r="X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30" t="n"/>
      <c r="J173" s="30" t="n"/>
      <c r="K173" s="30" t="n"/>
      <c r="L173" s="22" t="n"/>
      <c r="M173" s="22" t="n"/>
      <c r="N173" s="22" t="n"/>
      <c r="O173" s="31" t="n"/>
      <c r="P173" s="22" t="n"/>
      <c r="Q173" s="18" t="n"/>
      <c r="R173" s="30" t="n"/>
      <c r="S173" s="22" t="n"/>
      <c r="T173" s="22" t="n"/>
      <c r="U173" s="22" t="n"/>
      <c r="V173" s="18" t="n"/>
      <c r="W173" s="18" t="n"/>
      <c r="X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30" t="n"/>
      <c r="J174" s="30" t="n"/>
      <c r="K174" s="30" t="n"/>
      <c r="L174" s="22" t="n"/>
      <c r="M174" s="22" t="n"/>
      <c r="N174" s="22" t="n"/>
      <c r="O174" s="31" t="n"/>
      <c r="P174" s="22" t="n"/>
      <c r="Q174" s="18" t="n"/>
      <c r="R174" s="30" t="n"/>
      <c r="S174" s="22" t="n"/>
      <c r="T174" s="22" t="n"/>
      <c r="U174" s="22" t="n"/>
      <c r="V174" s="18" t="n"/>
      <c r="W174" s="18" t="n"/>
      <c r="X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30" t="n"/>
      <c r="J175" s="30" t="n"/>
      <c r="K175" s="30" t="n"/>
      <c r="L175" s="22" t="n"/>
      <c r="M175" s="22" t="n"/>
      <c r="N175" s="22" t="n"/>
      <c r="O175" s="31" t="n"/>
      <c r="P175" s="22" t="n"/>
      <c r="Q175" s="18" t="n"/>
      <c r="R175" s="30" t="n"/>
      <c r="S175" s="22" t="n"/>
      <c r="T175" s="22" t="n"/>
      <c r="U175" s="22" t="n"/>
      <c r="V175" s="18" t="n"/>
      <c r="W175" s="18" t="n"/>
      <c r="X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30" t="n"/>
      <c r="J176" s="30" t="n"/>
      <c r="K176" s="30" t="n"/>
      <c r="L176" s="22" t="n"/>
      <c r="M176" s="22" t="n"/>
      <c r="N176" s="22" t="n"/>
      <c r="O176" s="31" t="n"/>
      <c r="P176" s="22" t="n"/>
      <c r="Q176" s="18" t="n"/>
      <c r="R176" s="30" t="n"/>
      <c r="S176" s="22" t="n"/>
      <c r="T176" s="22" t="n"/>
      <c r="U176" s="22" t="n"/>
      <c r="V176" s="18" t="n"/>
      <c r="W176" s="18" t="n"/>
      <c r="X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30" t="n"/>
      <c r="J177" s="30" t="n"/>
      <c r="K177" s="30" t="n"/>
      <c r="L177" s="22" t="n"/>
      <c r="M177" s="22" t="n"/>
      <c r="N177" s="22" t="n"/>
      <c r="O177" s="31" t="n"/>
      <c r="P177" s="22" t="n"/>
      <c r="Q177" s="18" t="n"/>
      <c r="R177" s="30" t="n"/>
      <c r="S177" s="22" t="n"/>
      <c r="T177" s="22" t="n"/>
      <c r="U177" s="22" t="n"/>
      <c r="V177" s="18" t="n"/>
      <c r="W177" s="18" t="n"/>
      <c r="X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30" t="n"/>
      <c r="J178" s="30" t="n"/>
      <c r="K178" s="30" t="n"/>
      <c r="L178" s="22" t="n"/>
      <c r="M178" s="22" t="n"/>
      <c r="N178" s="22" t="n"/>
      <c r="O178" s="31" t="n"/>
      <c r="P178" s="22" t="n"/>
      <c r="Q178" s="18" t="n"/>
      <c r="R178" s="30" t="n"/>
      <c r="S178" s="22" t="n"/>
      <c r="T178" s="22" t="n"/>
      <c r="U178" s="22" t="n"/>
      <c r="V178" s="18" t="n"/>
      <c r="W178" s="18" t="n"/>
      <c r="X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30" t="n"/>
      <c r="J179" s="30" t="n"/>
      <c r="K179" s="30" t="n"/>
      <c r="L179" s="22" t="n"/>
      <c r="M179" s="22" t="n"/>
      <c r="N179" s="22" t="n"/>
      <c r="O179" s="31" t="n"/>
      <c r="P179" s="22" t="n"/>
      <c r="Q179" s="18" t="n"/>
      <c r="R179" s="30" t="n"/>
      <c r="S179" s="22" t="n"/>
      <c r="T179" s="22" t="n"/>
      <c r="U179" s="22" t="n"/>
      <c r="V179" s="18" t="n"/>
      <c r="W179" s="18" t="n"/>
      <c r="X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30" t="n"/>
      <c r="J180" s="30" t="n"/>
      <c r="K180" s="30" t="n"/>
      <c r="L180" s="22" t="n"/>
      <c r="M180" s="22" t="n"/>
      <c r="N180" s="22" t="n"/>
      <c r="O180" s="31" t="n"/>
      <c r="P180" s="22" t="n"/>
      <c r="Q180" s="18" t="n"/>
      <c r="R180" s="30" t="n"/>
      <c r="S180" s="22" t="n"/>
      <c r="T180" s="22" t="n"/>
      <c r="U180" s="22" t="n"/>
      <c r="V180" s="18" t="n"/>
      <c r="W180" s="18" t="n"/>
      <c r="X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30" t="n"/>
      <c r="J181" s="30" t="n"/>
      <c r="K181" s="30" t="n"/>
      <c r="L181" s="22" t="n"/>
      <c r="M181" s="22" t="n"/>
      <c r="N181" s="22" t="n"/>
      <c r="O181" s="31" t="n"/>
      <c r="P181" s="22" t="n"/>
      <c r="Q181" s="18" t="n"/>
      <c r="R181" s="30" t="n"/>
      <c r="S181" s="22" t="n"/>
      <c r="T181" s="22" t="n"/>
      <c r="U181" s="22" t="n"/>
      <c r="V181" s="18" t="n"/>
      <c r="W181" s="18" t="n"/>
      <c r="X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30" t="n"/>
      <c r="J182" s="30" t="n"/>
      <c r="K182" s="30" t="n"/>
      <c r="L182" s="22" t="n"/>
      <c r="M182" s="22" t="n"/>
      <c r="N182" s="22" t="n"/>
      <c r="O182" s="31" t="n"/>
      <c r="P182" s="22" t="n"/>
      <c r="Q182" s="18" t="n"/>
      <c r="R182" s="30" t="n"/>
      <c r="S182" s="22" t="n"/>
      <c r="T182" s="22" t="n"/>
      <c r="U182" s="22" t="n"/>
      <c r="V182" s="18" t="n"/>
      <c r="W182" s="18" t="n"/>
      <c r="X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30" t="n"/>
      <c r="J183" s="30" t="n"/>
      <c r="K183" s="30" t="n"/>
      <c r="L183" s="22" t="n"/>
      <c r="M183" s="22" t="n"/>
      <c r="N183" s="22" t="n"/>
      <c r="O183" s="31" t="n"/>
      <c r="P183" s="22" t="n"/>
      <c r="Q183" s="18" t="n"/>
      <c r="R183" s="30" t="n"/>
      <c r="S183" s="22" t="n"/>
      <c r="T183" s="22" t="n"/>
      <c r="U183" s="22" t="n"/>
      <c r="V183" s="18" t="n"/>
      <c r="W183" s="18" t="n"/>
      <c r="X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30" t="n"/>
      <c r="J184" s="30" t="n"/>
      <c r="K184" s="30" t="n"/>
      <c r="L184" s="22" t="n"/>
      <c r="M184" s="22" t="n"/>
      <c r="N184" s="22" t="n"/>
      <c r="O184" s="31" t="n"/>
      <c r="P184" s="22" t="n"/>
      <c r="Q184" s="18" t="n"/>
      <c r="R184" s="30" t="n"/>
      <c r="S184" s="22" t="n"/>
      <c r="T184" s="22" t="n"/>
      <c r="U184" s="22" t="n"/>
      <c r="V184" s="18" t="n"/>
      <c r="W184" s="18" t="n"/>
      <c r="X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30" t="n"/>
      <c r="J185" s="30" t="n"/>
      <c r="K185" s="30" t="n"/>
      <c r="L185" s="22" t="n"/>
      <c r="M185" s="22" t="n"/>
      <c r="N185" s="22" t="n"/>
      <c r="O185" s="31" t="n"/>
      <c r="P185" s="22" t="n"/>
      <c r="Q185" s="18" t="n"/>
      <c r="R185" s="30" t="n"/>
      <c r="S185" s="22" t="n"/>
      <c r="T185" s="22" t="n"/>
      <c r="U185" s="22" t="n"/>
      <c r="V185" s="18" t="n"/>
      <c r="W185" s="18" t="n"/>
      <c r="X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30" t="n"/>
      <c r="J186" s="30" t="n"/>
      <c r="K186" s="30" t="n"/>
      <c r="L186" s="22" t="n"/>
      <c r="M186" s="22" t="n"/>
      <c r="N186" s="22" t="n"/>
      <c r="O186" s="31" t="n"/>
      <c r="P186" s="22" t="n"/>
      <c r="Q186" s="18" t="n"/>
      <c r="R186" s="30" t="n"/>
      <c r="S186" s="22" t="n"/>
      <c r="T186" s="22" t="n"/>
      <c r="U186" s="22" t="n"/>
      <c r="V186" s="18" t="n"/>
      <c r="W186" s="18" t="n"/>
      <c r="X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30" t="n"/>
      <c r="J187" s="30" t="n"/>
      <c r="K187" s="30" t="n"/>
      <c r="L187" s="22" t="n"/>
      <c r="M187" s="22" t="n"/>
      <c r="N187" s="22" t="n"/>
      <c r="O187" s="31" t="n"/>
      <c r="P187" s="22" t="n"/>
      <c r="Q187" s="18" t="n"/>
      <c r="R187" s="30" t="n"/>
      <c r="S187" s="22" t="n"/>
      <c r="T187" s="22" t="n"/>
      <c r="U187" s="22" t="n"/>
      <c r="V187" s="18" t="n"/>
      <c r="W187" s="18" t="n"/>
      <c r="X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30" t="n"/>
      <c r="J188" s="30" t="n"/>
      <c r="K188" s="30" t="n"/>
      <c r="L188" s="22" t="n"/>
      <c r="M188" s="22" t="n"/>
      <c r="N188" s="22" t="n"/>
      <c r="O188" s="31" t="n"/>
      <c r="P188" s="22" t="n"/>
      <c r="Q188" s="18" t="n"/>
      <c r="R188" s="30" t="n"/>
      <c r="S188" s="22" t="n"/>
      <c r="T188" s="22" t="n"/>
      <c r="U188" s="22" t="n"/>
      <c r="V188" s="18" t="n"/>
      <c r="W188" s="18" t="n"/>
      <c r="X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30" t="n"/>
      <c r="J189" s="30" t="n"/>
      <c r="K189" s="30" t="n"/>
      <c r="L189" s="22" t="n"/>
      <c r="M189" s="22" t="n"/>
      <c r="N189" s="22" t="n"/>
      <c r="O189" s="31" t="n"/>
      <c r="P189" s="22" t="n"/>
      <c r="Q189" s="18" t="n"/>
      <c r="R189" s="30" t="n"/>
      <c r="S189" s="22" t="n"/>
      <c r="T189" s="22" t="n"/>
      <c r="U189" s="22" t="n"/>
      <c r="V189" s="18" t="n"/>
      <c r="W189" s="18" t="n"/>
      <c r="X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30" t="n"/>
      <c r="J190" s="30" t="n"/>
      <c r="K190" s="30" t="n"/>
      <c r="L190" s="22" t="n"/>
      <c r="M190" s="22" t="n"/>
      <c r="N190" s="22" t="n"/>
      <c r="O190" s="31" t="n"/>
      <c r="P190" s="22" t="n"/>
      <c r="Q190" s="18" t="n"/>
      <c r="R190" s="30" t="n"/>
      <c r="S190" s="22" t="n"/>
      <c r="T190" s="22" t="n"/>
      <c r="U190" s="22" t="n"/>
      <c r="V190" s="18" t="n"/>
      <c r="W190" s="18" t="n"/>
      <c r="X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30" t="n"/>
      <c r="J191" s="30" t="n"/>
      <c r="K191" s="30" t="n"/>
      <c r="L191" s="22" t="n"/>
      <c r="M191" s="22" t="n"/>
      <c r="N191" s="22" t="n"/>
      <c r="O191" s="31" t="n"/>
      <c r="P191" s="22" t="n"/>
      <c r="Q191" s="18" t="n"/>
      <c r="R191" s="30" t="n"/>
      <c r="S191" s="22" t="n"/>
      <c r="T191" s="22" t="n"/>
      <c r="U191" s="22" t="n"/>
      <c r="V191" s="18" t="n"/>
      <c r="W191" s="18" t="n"/>
      <c r="X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30" t="n"/>
      <c r="J192" s="30" t="n"/>
      <c r="K192" s="30" t="n"/>
      <c r="L192" s="22" t="n"/>
      <c r="M192" s="22" t="n"/>
      <c r="N192" s="22" t="n"/>
      <c r="O192" s="31" t="n"/>
      <c r="P192" s="22" t="n"/>
      <c r="Q192" s="18" t="n"/>
      <c r="R192" s="30" t="n"/>
      <c r="S192" s="22" t="n"/>
      <c r="T192" s="22" t="n"/>
      <c r="U192" s="22" t="n"/>
      <c r="V192" s="18" t="n"/>
      <c r="W192" s="18" t="n"/>
      <c r="X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30" t="n"/>
      <c r="J193" s="30" t="n"/>
      <c r="K193" s="30" t="n"/>
      <c r="L193" s="22" t="n"/>
      <c r="M193" s="22" t="n"/>
      <c r="N193" s="22" t="n"/>
      <c r="O193" s="31" t="n"/>
      <c r="P193" s="22" t="n"/>
      <c r="Q193" s="18" t="n"/>
      <c r="R193" s="30" t="n"/>
      <c r="S193" s="22" t="n"/>
      <c r="T193" s="22" t="n"/>
      <c r="U193" s="22" t="n"/>
      <c r="V193" s="18" t="n"/>
      <c r="W193" s="18" t="n"/>
      <c r="X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30" t="n"/>
      <c r="J194" s="30" t="n"/>
      <c r="K194" s="30" t="n"/>
      <c r="L194" s="22" t="n"/>
      <c r="M194" s="22" t="n"/>
      <c r="N194" s="22" t="n"/>
      <c r="O194" s="31" t="n"/>
      <c r="P194" s="22" t="n"/>
      <c r="Q194" s="18" t="n"/>
      <c r="R194" s="30" t="n"/>
      <c r="S194" s="22" t="n"/>
      <c r="T194" s="22" t="n"/>
      <c r="U194" s="22" t="n"/>
      <c r="V194" s="18" t="n"/>
      <c r="W194" s="18" t="n"/>
      <c r="X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30" t="n"/>
      <c r="J195" s="30" t="n"/>
      <c r="K195" s="30" t="n"/>
      <c r="L195" s="22" t="n"/>
      <c r="M195" s="22" t="n"/>
      <c r="N195" s="22" t="n"/>
      <c r="O195" s="31" t="n"/>
      <c r="P195" s="22" t="n"/>
      <c r="Q195" s="18" t="n"/>
      <c r="R195" s="30" t="n"/>
      <c r="S195" s="22" t="n"/>
      <c r="T195" s="22" t="n"/>
      <c r="U195" s="22" t="n"/>
      <c r="V195" s="18" t="n"/>
      <c r="W195" s="18" t="n"/>
      <c r="X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30" t="n"/>
      <c r="J196" s="30" t="n"/>
      <c r="K196" s="30" t="n"/>
      <c r="L196" s="22" t="n"/>
      <c r="M196" s="22" t="n"/>
      <c r="N196" s="22" t="n"/>
      <c r="O196" s="31" t="n"/>
      <c r="P196" s="22" t="n"/>
      <c r="Q196" s="18" t="n"/>
      <c r="R196" s="30" t="n"/>
      <c r="S196" s="22" t="n"/>
      <c r="T196" s="22" t="n"/>
      <c r="U196" s="22" t="n"/>
      <c r="V196" s="18" t="n"/>
      <c r="W196" s="18" t="n"/>
      <c r="X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30" t="n"/>
      <c r="J197" s="30" t="n"/>
      <c r="K197" s="30" t="n"/>
      <c r="L197" s="22" t="n"/>
      <c r="M197" s="22" t="n"/>
      <c r="N197" s="22" t="n"/>
      <c r="O197" s="31" t="n"/>
      <c r="P197" s="22" t="n"/>
      <c r="Q197" s="18" t="n"/>
      <c r="R197" s="30" t="n"/>
      <c r="S197" s="22" t="n"/>
      <c r="T197" s="22" t="n"/>
      <c r="U197" s="22" t="n"/>
      <c r="V197" s="18" t="n"/>
      <c r="W197" s="18" t="n"/>
      <c r="X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30" t="n"/>
      <c r="J198" s="30" t="n"/>
      <c r="K198" s="30" t="n"/>
      <c r="L198" s="22" t="n"/>
      <c r="M198" s="22" t="n"/>
      <c r="N198" s="22" t="n"/>
      <c r="O198" s="31" t="n"/>
      <c r="P198" s="22" t="n"/>
      <c r="Q198" s="18" t="n"/>
      <c r="R198" s="30" t="n"/>
      <c r="S198" s="22" t="n"/>
      <c r="T198" s="22" t="n"/>
      <c r="U198" s="22" t="n"/>
      <c r="V198" s="18" t="n"/>
      <c r="W198" s="18" t="n"/>
      <c r="X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30" t="n"/>
      <c r="J199" s="30" t="n"/>
      <c r="K199" s="30" t="n"/>
      <c r="L199" s="22" t="n"/>
      <c r="M199" s="22" t="n"/>
      <c r="N199" s="22" t="n"/>
      <c r="O199" s="31" t="n"/>
      <c r="P199" s="22" t="n"/>
      <c r="Q199" s="18" t="n"/>
      <c r="R199" s="30" t="n"/>
      <c r="S199" s="22" t="n"/>
      <c r="T199" s="22" t="n"/>
      <c r="U199" s="22" t="n"/>
      <c r="V199" s="18" t="n"/>
      <c r="W199" s="18" t="n"/>
      <c r="X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30" t="n"/>
      <c r="J200" s="30" t="n"/>
      <c r="K200" s="30" t="n"/>
      <c r="L200" s="22" t="n"/>
      <c r="M200" s="22" t="n"/>
      <c r="N200" s="22" t="n"/>
      <c r="O200" s="31" t="n"/>
      <c r="P200" s="22" t="n"/>
      <c r="Q200" s="18" t="n"/>
      <c r="R200" s="30" t="n"/>
      <c r="S200" s="22" t="n"/>
      <c r="T200" s="22" t="n"/>
      <c r="U200" s="22" t="n"/>
      <c r="V200" s="18" t="n"/>
      <c r="W200" s="18" t="n"/>
      <c r="X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30" t="n"/>
      <c r="J201" s="30" t="n"/>
      <c r="K201" s="30" t="n"/>
      <c r="L201" s="22" t="n"/>
      <c r="M201" s="22" t="n"/>
      <c r="N201" s="22" t="n"/>
      <c r="O201" s="31" t="n"/>
      <c r="P201" s="22" t="n"/>
      <c r="Q201" s="18" t="n"/>
      <c r="R201" s="30" t="n"/>
      <c r="S201" s="22" t="n"/>
      <c r="T201" s="22" t="n"/>
      <c r="U201" s="22" t="n"/>
      <c r="V201" s="18" t="n"/>
      <c r="W201" s="18" t="n"/>
      <c r="X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30" t="n"/>
      <c r="J202" s="30" t="n"/>
      <c r="K202" s="30" t="n"/>
      <c r="L202" s="22" t="n"/>
      <c r="M202" s="22" t="n"/>
      <c r="N202" s="22" t="n"/>
      <c r="O202" s="31" t="n"/>
      <c r="P202" s="22" t="n"/>
      <c r="Q202" s="18" t="n"/>
      <c r="R202" s="30" t="n"/>
      <c r="S202" s="22" t="n"/>
      <c r="T202" s="22" t="n"/>
      <c r="U202" s="22" t="n"/>
      <c r="V202" s="18" t="n"/>
      <c r="W202" s="18" t="n"/>
      <c r="X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30" t="n"/>
      <c r="J203" s="30" t="n"/>
      <c r="K203" s="30" t="n"/>
      <c r="L203" s="22" t="n"/>
      <c r="M203" s="22" t="n"/>
      <c r="N203" s="22" t="n"/>
      <c r="O203" s="31" t="n"/>
      <c r="P203" s="22" t="n"/>
      <c r="Q203" s="18" t="n"/>
      <c r="R203" s="30" t="n"/>
      <c r="S203" s="22" t="n"/>
      <c r="T203" s="22" t="n"/>
      <c r="U203" s="22" t="n"/>
      <c r="V203" s="18" t="n"/>
      <c r="W203" s="18" t="n"/>
      <c r="X203" s="18" t="n"/>
    </row>
  </sheetData>
  <mergeCells count="2">
    <mergeCell ref="C2:X2"/>
    <mergeCell ref="A1:X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6000"/>
    <outlinePr summaryBelow="1" summaryRight="1"/>
    <pageSetUpPr/>
  </sheetPr>
  <dimension ref="A1:AL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3" customWidth="1" min="4" max="4"/>
    <col width="13" customWidth="1" min="5" max="5"/>
    <col width="20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3" customWidth="1" min="13" max="13"/>
    <col width="14" customWidth="1" min="14" max="14"/>
    <col width="10" customWidth="1" min="15" max="15"/>
    <col width="13" customWidth="1" min="16" max="16"/>
    <col width="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26" customWidth="1" min="23" max="23"/>
    <col width="24" customWidth="1" min="24" max="24"/>
    <col width="11" customWidth="1" min="27" max="27"/>
    <col width="14" customWidth="1" min="28" max="28"/>
    <col width="11" customWidth="1" min="29" max="29"/>
    <col width="14" customWidth="1" min="30" max="30"/>
    <col width="11" customWidth="1" min="31" max="31"/>
    <col width="14" customWidth="1" min="32" max="32"/>
    <col width="11" customWidth="1" min="33" max="33"/>
    <col width="14" customWidth="1" min="34" max="34"/>
    <col width="11" customWidth="1" min="35" max="35"/>
    <col width="14" customWidth="1" min="36" max="36"/>
    <col width="11" customWidth="1" min="37" max="37"/>
    <col width="14" customWidth="1" min="38" max="38"/>
  </cols>
  <sheetData>
    <row r="1" ht="30" customHeight="1">
      <c r="A1" s="9" t="inlineStr">
        <is>
          <t>【个人典当】明细 · 自动从表2拆出来，不用填</t>
        </is>
      </c>
    </row>
    <row r="2" ht="22" customHeight="1">
      <c r="A2" s="24" t="inlineStr">
        <is>
          <t>机构名称</t>
        </is>
      </c>
      <c r="B2" s="25" t="inlineStr">
        <is>
          <t>个人典当</t>
        </is>
      </c>
      <c r="C2" s="26" t="inlineStr">
        <is>
          <t>← 这格是拆分依据，别改。整张表是一条公式的结果，要改数据去【表2客户典当登记】改，手动在这里打字会把公式顶掉。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  <c r="AA2" s="27" t="inlineStr">
        <is>
          <t>机构</t>
        </is>
      </c>
      <c r="AB2" s="28">
        <f>"个人典当"</f>
        <v/>
      </c>
      <c r="AC2" s="27" t="inlineStr">
        <is>
          <t>笔数</t>
        </is>
      </c>
      <c r="AD2" s="16">
        <f>COUNTIF(表2客户典当登记!$B$4:$B$403,"个人典当")</f>
        <v/>
      </c>
      <c r="AE2" s="27" t="inlineStr">
        <is>
          <t>典当金额</t>
        </is>
      </c>
      <c r="AF2" s="29">
        <f>ROUND(SUMIF(表2客户典当登记!$B$4:$B$403,"个人典当",表2客户典当登记!$L$4:$L$403),2)</f>
        <v/>
      </c>
      <c r="AG2" s="27" t="inlineStr">
        <is>
          <t>已还本金</t>
        </is>
      </c>
      <c r="AH2" s="29">
        <f>ROUND(SUMIF(表2客户典当登记!$B$4:$B$403,"个人典当",表2客户典当登记!$M$4:$M$403),2)</f>
        <v/>
      </c>
      <c r="AI2" s="27" t="inlineStr">
        <is>
          <t>当前在当</t>
        </is>
      </c>
      <c r="AJ2" s="29">
        <f>ROUND(SUMIF(表2客户典当登记!$B$4:$B$403,"个人典当",表2客户典当登记!$N$4:$N$403),2)</f>
        <v/>
      </c>
      <c r="AK2" s="27" t="inlineStr">
        <is>
          <t>应收利息</t>
        </is>
      </c>
      <c r="AL2" s="29">
        <f>ROUND(SUMIF(表2客户典当登记!$B$4:$B$403,"个人典当",表2客户典当登记!$P$4:$P$403),2)</f>
        <v/>
      </c>
    </row>
    <row r="3" ht="32" customHeight="1">
      <c r="A3" s="24" t="inlineStr">
        <is>
          <t>序号</t>
        </is>
      </c>
      <c r="B3" s="24" t="inlineStr">
        <is>
          <t>抵押机构 ★</t>
        </is>
      </c>
      <c r="C3" s="24" t="inlineStr">
        <is>
          <t>抵押物品 ★</t>
        </is>
      </c>
      <c r="D3" s="24" t="inlineStr">
        <is>
          <t>状态 ★</t>
        </is>
      </c>
      <c r="E3" s="24" t="inlineStr">
        <is>
          <t>客户姓名 ★</t>
        </is>
      </c>
      <c r="F3" s="24" t="inlineStr">
        <is>
          <t>身份证号</t>
        </is>
      </c>
      <c r="G3" s="24" t="inlineStr">
        <is>
          <t>客户电话</t>
        </is>
      </c>
      <c r="H3" s="24" t="inlineStr">
        <is>
          <t>当票号</t>
        </is>
      </c>
      <c r="I3" s="24" t="inlineStr">
        <is>
          <t>当票日期</t>
        </is>
      </c>
      <c r="J3" s="24" t="inlineStr">
        <is>
          <t>当票到期日</t>
        </is>
      </c>
      <c r="K3" s="24" t="inlineStr">
        <is>
          <t>出款日期</t>
        </is>
      </c>
      <c r="L3" s="24" t="inlineStr">
        <is>
          <t>典当金额 ★</t>
        </is>
      </c>
      <c r="M3" s="24" t="inlineStr">
        <is>
          <t>已还本金</t>
        </is>
      </c>
      <c r="N3" s="24" t="inlineStr">
        <is>
          <t>当前在当</t>
        </is>
      </c>
      <c r="O3" s="24" t="inlineStr">
        <is>
          <t>典当系统费率</t>
        </is>
      </c>
      <c r="P3" s="24" t="inlineStr">
        <is>
          <t>应收利息</t>
        </is>
      </c>
      <c r="Q3" s="24" t="inlineStr">
        <is>
          <t>利息日</t>
        </is>
      </c>
      <c r="R3" s="24" t="inlineStr">
        <is>
          <t>应付利息日</t>
        </is>
      </c>
      <c r="S3" s="24" t="inlineStr">
        <is>
          <t>对公</t>
        </is>
      </c>
      <c r="T3" s="24" t="inlineStr">
        <is>
          <t>违约金</t>
        </is>
      </c>
      <c r="U3" s="24" t="inlineStr">
        <is>
          <t>开票金额</t>
        </is>
      </c>
      <c r="V3" s="24" t="inlineStr">
        <is>
          <t>付息方式</t>
        </is>
      </c>
      <c r="W3" s="24" t="inlineStr">
        <is>
          <t>详情/备注</t>
        </is>
      </c>
      <c r="X3" s="24" t="inlineStr">
        <is>
          <t>核对</t>
        </is>
      </c>
    </row>
    <row r="4">
      <c r="A4" s="18" cm="1">
        <f t="array" ref="A4:X203">_xlfn._xlws.FILTER(IF(表2客户典当登记!$A$4:$X$403="","",表2客户典当登记!$A$4:$X$403),表2客户典当登记!$B$4:$B$403=$B$2,"这个机构还没有记录")</f>
        <v/>
      </c>
      <c r="B4" s="18" t="n"/>
      <c r="C4" s="18" t="n"/>
      <c r="D4" s="18" t="n"/>
      <c r="E4" s="18" t="n"/>
      <c r="F4" s="18" t="n"/>
      <c r="G4" s="18" t="n"/>
      <c r="H4" s="18" t="n"/>
      <c r="I4" s="30" t="n"/>
      <c r="J4" s="30" t="n"/>
      <c r="K4" s="30" t="n"/>
      <c r="L4" s="22" t="n"/>
      <c r="M4" s="22" t="n"/>
      <c r="N4" s="22" t="n"/>
      <c r="O4" s="31" t="n"/>
      <c r="P4" s="22" t="n"/>
      <c r="Q4" s="18" t="n"/>
      <c r="R4" s="30" t="n"/>
      <c r="S4" s="22" t="n"/>
      <c r="T4" s="22" t="n"/>
      <c r="U4" s="22" t="n"/>
      <c r="V4" s="18" t="n"/>
      <c r="W4" s="18" t="n"/>
      <c r="X4" s="18" t="n"/>
    </row>
    <row r="5">
      <c r="A5" s="18" t="n"/>
      <c r="B5" s="18" t="n"/>
      <c r="C5" s="18" t="n"/>
      <c r="D5" s="18" t="n"/>
      <c r="E5" s="18" t="n"/>
      <c r="F5" s="18" t="n"/>
      <c r="G5" s="18" t="n"/>
      <c r="H5" s="18" t="n"/>
      <c r="I5" s="30" t="n"/>
      <c r="J5" s="30" t="n"/>
      <c r="K5" s="30" t="n"/>
      <c r="L5" s="22" t="n"/>
      <c r="M5" s="22" t="n"/>
      <c r="N5" s="22" t="n"/>
      <c r="O5" s="31" t="n"/>
      <c r="P5" s="22" t="n"/>
      <c r="Q5" s="18" t="n"/>
      <c r="R5" s="30" t="n"/>
      <c r="S5" s="22" t="n"/>
      <c r="T5" s="22" t="n"/>
      <c r="U5" s="22" t="n"/>
      <c r="V5" s="18" t="n"/>
      <c r="W5" s="18" t="n"/>
      <c r="X5" s="18" t="n"/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  <c r="I6" s="30" t="n"/>
      <c r="J6" s="30" t="n"/>
      <c r="K6" s="30" t="n"/>
      <c r="L6" s="22" t="n"/>
      <c r="M6" s="22" t="n"/>
      <c r="N6" s="22" t="n"/>
      <c r="O6" s="31" t="n"/>
      <c r="P6" s="22" t="n"/>
      <c r="Q6" s="18" t="n"/>
      <c r="R6" s="30" t="n"/>
      <c r="S6" s="22" t="n"/>
      <c r="T6" s="22" t="n"/>
      <c r="U6" s="22" t="n"/>
      <c r="V6" s="18" t="n"/>
      <c r="W6" s="18" t="n"/>
      <c r="X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  <c r="I7" s="30" t="n"/>
      <c r="J7" s="30" t="n"/>
      <c r="K7" s="30" t="n"/>
      <c r="L7" s="22" t="n"/>
      <c r="M7" s="22" t="n"/>
      <c r="N7" s="22" t="n"/>
      <c r="O7" s="31" t="n"/>
      <c r="P7" s="22" t="n"/>
      <c r="Q7" s="18" t="n"/>
      <c r="R7" s="30" t="n"/>
      <c r="S7" s="22" t="n"/>
      <c r="T7" s="22" t="n"/>
      <c r="U7" s="22" t="n"/>
      <c r="V7" s="18" t="n"/>
      <c r="W7" s="18" t="n"/>
      <c r="X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30" t="n"/>
      <c r="J8" s="30" t="n"/>
      <c r="K8" s="30" t="n"/>
      <c r="L8" s="22" t="n"/>
      <c r="M8" s="22" t="n"/>
      <c r="N8" s="22" t="n"/>
      <c r="O8" s="31" t="n"/>
      <c r="P8" s="22" t="n"/>
      <c r="Q8" s="18" t="n"/>
      <c r="R8" s="30" t="n"/>
      <c r="S8" s="22" t="n"/>
      <c r="T8" s="22" t="n"/>
      <c r="U8" s="22" t="n"/>
      <c r="V8" s="18" t="n"/>
      <c r="W8" s="18" t="n"/>
      <c r="X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30" t="n"/>
      <c r="J9" s="30" t="n"/>
      <c r="K9" s="30" t="n"/>
      <c r="L9" s="22" t="n"/>
      <c r="M9" s="22" t="n"/>
      <c r="N9" s="22" t="n"/>
      <c r="O9" s="31" t="n"/>
      <c r="P9" s="22" t="n"/>
      <c r="Q9" s="18" t="n"/>
      <c r="R9" s="30" t="n"/>
      <c r="S9" s="22" t="n"/>
      <c r="T9" s="22" t="n"/>
      <c r="U9" s="22" t="n"/>
      <c r="V9" s="18" t="n"/>
      <c r="W9" s="18" t="n"/>
      <c r="X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30" t="n"/>
      <c r="J10" s="30" t="n"/>
      <c r="K10" s="30" t="n"/>
      <c r="L10" s="22" t="n"/>
      <c r="M10" s="22" t="n"/>
      <c r="N10" s="22" t="n"/>
      <c r="O10" s="31" t="n"/>
      <c r="P10" s="22" t="n"/>
      <c r="Q10" s="18" t="n"/>
      <c r="R10" s="30" t="n"/>
      <c r="S10" s="22" t="n"/>
      <c r="T10" s="22" t="n"/>
      <c r="U10" s="22" t="n"/>
      <c r="V10" s="18" t="n"/>
      <c r="W10" s="18" t="n"/>
      <c r="X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30" t="n"/>
      <c r="J11" s="30" t="n"/>
      <c r="K11" s="30" t="n"/>
      <c r="L11" s="22" t="n"/>
      <c r="M11" s="22" t="n"/>
      <c r="N11" s="22" t="n"/>
      <c r="O11" s="31" t="n"/>
      <c r="P11" s="22" t="n"/>
      <c r="Q11" s="18" t="n"/>
      <c r="R11" s="30" t="n"/>
      <c r="S11" s="22" t="n"/>
      <c r="T11" s="22" t="n"/>
      <c r="U11" s="22" t="n"/>
      <c r="V11" s="18" t="n"/>
      <c r="W11" s="18" t="n"/>
      <c r="X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30" t="n"/>
      <c r="J12" s="30" t="n"/>
      <c r="K12" s="30" t="n"/>
      <c r="L12" s="22" t="n"/>
      <c r="M12" s="22" t="n"/>
      <c r="N12" s="22" t="n"/>
      <c r="O12" s="31" t="n"/>
      <c r="P12" s="22" t="n"/>
      <c r="Q12" s="18" t="n"/>
      <c r="R12" s="30" t="n"/>
      <c r="S12" s="22" t="n"/>
      <c r="T12" s="22" t="n"/>
      <c r="U12" s="22" t="n"/>
      <c r="V12" s="18" t="n"/>
      <c r="W12" s="18" t="n"/>
      <c r="X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30" t="n"/>
      <c r="J13" s="30" t="n"/>
      <c r="K13" s="30" t="n"/>
      <c r="L13" s="22" t="n"/>
      <c r="M13" s="22" t="n"/>
      <c r="N13" s="22" t="n"/>
      <c r="O13" s="31" t="n"/>
      <c r="P13" s="22" t="n"/>
      <c r="Q13" s="18" t="n"/>
      <c r="R13" s="30" t="n"/>
      <c r="S13" s="22" t="n"/>
      <c r="T13" s="22" t="n"/>
      <c r="U13" s="22" t="n"/>
      <c r="V13" s="18" t="n"/>
      <c r="W13" s="18" t="n"/>
      <c r="X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30" t="n"/>
      <c r="J14" s="30" t="n"/>
      <c r="K14" s="30" t="n"/>
      <c r="L14" s="22" t="n"/>
      <c r="M14" s="22" t="n"/>
      <c r="N14" s="22" t="n"/>
      <c r="O14" s="31" t="n"/>
      <c r="P14" s="22" t="n"/>
      <c r="Q14" s="18" t="n"/>
      <c r="R14" s="30" t="n"/>
      <c r="S14" s="22" t="n"/>
      <c r="T14" s="22" t="n"/>
      <c r="U14" s="22" t="n"/>
      <c r="V14" s="18" t="n"/>
      <c r="W14" s="18" t="n"/>
      <c r="X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30" t="n"/>
      <c r="J15" s="30" t="n"/>
      <c r="K15" s="30" t="n"/>
      <c r="L15" s="22" t="n"/>
      <c r="M15" s="22" t="n"/>
      <c r="N15" s="22" t="n"/>
      <c r="O15" s="31" t="n"/>
      <c r="P15" s="22" t="n"/>
      <c r="Q15" s="18" t="n"/>
      <c r="R15" s="30" t="n"/>
      <c r="S15" s="22" t="n"/>
      <c r="T15" s="22" t="n"/>
      <c r="U15" s="22" t="n"/>
      <c r="V15" s="18" t="n"/>
      <c r="W15" s="18" t="n"/>
      <c r="X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30" t="n"/>
      <c r="J16" s="30" t="n"/>
      <c r="K16" s="30" t="n"/>
      <c r="L16" s="22" t="n"/>
      <c r="M16" s="22" t="n"/>
      <c r="N16" s="22" t="n"/>
      <c r="O16" s="31" t="n"/>
      <c r="P16" s="22" t="n"/>
      <c r="Q16" s="18" t="n"/>
      <c r="R16" s="30" t="n"/>
      <c r="S16" s="22" t="n"/>
      <c r="T16" s="22" t="n"/>
      <c r="U16" s="22" t="n"/>
      <c r="V16" s="18" t="n"/>
      <c r="W16" s="18" t="n"/>
      <c r="X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30" t="n"/>
      <c r="J17" s="30" t="n"/>
      <c r="K17" s="30" t="n"/>
      <c r="L17" s="22" t="n"/>
      <c r="M17" s="22" t="n"/>
      <c r="N17" s="22" t="n"/>
      <c r="O17" s="31" t="n"/>
      <c r="P17" s="22" t="n"/>
      <c r="Q17" s="18" t="n"/>
      <c r="R17" s="30" t="n"/>
      <c r="S17" s="22" t="n"/>
      <c r="T17" s="22" t="n"/>
      <c r="U17" s="22" t="n"/>
      <c r="V17" s="18" t="n"/>
      <c r="W17" s="18" t="n"/>
      <c r="X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30" t="n"/>
      <c r="J18" s="30" t="n"/>
      <c r="K18" s="30" t="n"/>
      <c r="L18" s="22" t="n"/>
      <c r="M18" s="22" t="n"/>
      <c r="N18" s="22" t="n"/>
      <c r="O18" s="31" t="n"/>
      <c r="P18" s="22" t="n"/>
      <c r="Q18" s="18" t="n"/>
      <c r="R18" s="30" t="n"/>
      <c r="S18" s="22" t="n"/>
      <c r="T18" s="22" t="n"/>
      <c r="U18" s="22" t="n"/>
      <c r="V18" s="18" t="n"/>
      <c r="W18" s="18" t="n"/>
      <c r="X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30" t="n"/>
      <c r="J19" s="30" t="n"/>
      <c r="K19" s="30" t="n"/>
      <c r="L19" s="22" t="n"/>
      <c r="M19" s="22" t="n"/>
      <c r="N19" s="22" t="n"/>
      <c r="O19" s="31" t="n"/>
      <c r="P19" s="22" t="n"/>
      <c r="Q19" s="18" t="n"/>
      <c r="R19" s="30" t="n"/>
      <c r="S19" s="22" t="n"/>
      <c r="T19" s="22" t="n"/>
      <c r="U19" s="22" t="n"/>
      <c r="V19" s="18" t="n"/>
      <c r="W19" s="18" t="n"/>
      <c r="X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30" t="n"/>
      <c r="J20" s="30" t="n"/>
      <c r="K20" s="30" t="n"/>
      <c r="L20" s="22" t="n"/>
      <c r="M20" s="22" t="n"/>
      <c r="N20" s="22" t="n"/>
      <c r="O20" s="31" t="n"/>
      <c r="P20" s="22" t="n"/>
      <c r="Q20" s="18" t="n"/>
      <c r="R20" s="30" t="n"/>
      <c r="S20" s="22" t="n"/>
      <c r="T20" s="22" t="n"/>
      <c r="U20" s="22" t="n"/>
      <c r="V20" s="18" t="n"/>
      <c r="W20" s="18" t="n"/>
      <c r="X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30" t="n"/>
      <c r="J21" s="30" t="n"/>
      <c r="K21" s="30" t="n"/>
      <c r="L21" s="22" t="n"/>
      <c r="M21" s="22" t="n"/>
      <c r="N21" s="22" t="n"/>
      <c r="O21" s="31" t="n"/>
      <c r="P21" s="22" t="n"/>
      <c r="Q21" s="18" t="n"/>
      <c r="R21" s="30" t="n"/>
      <c r="S21" s="22" t="n"/>
      <c r="T21" s="22" t="n"/>
      <c r="U21" s="22" t="n"/>
      <c r="V21" s="18" t="n"/>
      <c r="W21" s="18" t="n"/>
      <c r="X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30" t="n"/>
      <c r="J22" s="30" t="n"/>
      <c r="K22" s="30" t="n"/>
      <c r="L22" s="22" t="n"/>
      <c r="M22" s="22" t="n"/>
      <c r="N22" s="22" t="n"/>
      <c r="O22" s="31" t="n"/>
      <c r="P22" s="22" t="n"/>
      <c r="Q22" s="18" t="n"/>
      <c r="R22" s="30" t="n"/>
      <c r="S22" s="22" t="n"/>
      <c r="T22" s="22" t="n"/>
      <c r="U22" s="22" t="n"/>
      <c r="V22" s="18" t="n"/>
      <c r="W22" s="18" t="n"/>
      <c r="X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30" t="n"/>
      <c r="J23" s="30" t="n"/>
      <c r="K23" s="30" t="n"/>
      <c r="L23" s="22" t="n"/>
      <c r="M23" s="22" t="n"/>
      <c r="N23" s="22" t="n"/>
      <c r="O23" s="31" t="n"/>
      <c r="P23" s="22" t="n"/>
      <c r="Q23" s="18" t="n"/>
      <c r="R23" s="30" t="n"/>
      <c r="S23" s="22" t="n"/>
      <c r="T23" s="22" t="n"/>
      <c r="U23" s="22" t="n"/>
      <c r="V23" s="18" t="n"/>
      <c r="W23" s="18" t="n"/>
      <c r="X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30" t="n"/>
      <c r="J24" s="30" t="n"/>
      <c r="K24" s="30" t="n"/>
      <c r="L24" s="22" t="n"/>
      <c r="M24" s="22" t="n"/>
      <c r="N24" s="22" t="n"/>
      <c r="O24" s="31" t="n"/>
      <c r="P24" s="22" t="n"/>
      <c r="Q24" s="18" t="n"/>
      <c r="R24" s="30" t="n"/>
      <c r="S24" s="22" t="n"/>
      <c r="T24" s="22" t="n"/>
      <c r="U24" s="22" t="n"/>
      <c r="V24" s="18" t="n"/>
      <c r="W24" s="18" t="n"/>
      <c r="X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30" t="n"/>
      <c r="J25" s="30" t="n"/>
      <c r="K25" s="30" t="n"/>
      <c r="L25" s="22" t="n"/>
      <c r="M25" s="22" t="n"/>
      <c r="N25" s="22" t="n"/>
      <c r="O25" s="31" t="n"/>
      <c r="P25" s="22" t="n"/>
      <c r="Q25" s="18" t="n"/>
      <c r="R25" s="30" t="n"/>
      <c r="S25" s="22" t="n"/>
      <c r="T25" s="22" t="n"/>
      <c r="U25" s="22" t="n"/>
      <c r="V25" s="18" t="n"/>
      <c r="W25" s="18" t="n"/>
      <c r="X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30" t="n"/>
      <c r="J26" s="30" t="n"/>
      <c r="K26" s="30" t="n"/>
      <c r="L26" s="22" t="n"/>
      <c r="M26" s="22" t="n"/>
      <c r="N26" s="22" t="n"/>
      <c r="O26" s="31" t="n"/>
      <c r="P26" s="22" t="n"/>
      <c r="Q26" s="18" t="n"/>
      <c r="R26" s="30" t="n"/>
      <c r="S26" s="22" t="n"/>
      <c r="T26" s="22" t="n"/>
      <c r="U26" s="22" t="n"/>
      <c r="V26" s="18" t="n"/>
      <c r="W26" s="18" t="n"/>
      <c r="X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30" t="n"/>
      <c r="J27" s="30" t="n"/>
      <c r="K27" s="30" t="n"/>
      <c r="L27" s="22" t="n"/>
      <c r="M27" s="22" t="n"/>
      <c r="N27" s="22" t="n"/>
      <c r="O27" s="31" t="n"/>
      <c r="P27" s="22" t="n"/>
      <c r="Q27" s="18" t="n"/>
      <c r="R27" s="30" t="n"/>
      <c r="S27" s="22" t="n"/>
      <c r="T27" s="22" t="n"/>
      <c r="U27" s="22" t="n"/>
      <c r="V27" s="18" t="n"/>
      <c r="W27" s="18" t="n"/>
      <c r="X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30" t="n"/>
      <c r="J28" s="30" t="n"/>
      <c r="K28" s="30" t="n"/>
      <c r="L28" s="22" t="n"/>
      <c r="M28" s="22" t="n"/>
      <c r="N28" s="22" t="n"/>
      <c r="O28" s="31" t="n"/>
      <c r="P28" s="22" t="n"/>
      <c r="Q28" s="18" t="n"/>
      <c r="R28" s="30" t="n"/>
      <c r="S28" s="22" t="n"/>
      <c r="T28" s="22" t="n"/>
      <c r="U28" s="22" t="n"/>
      <c r="V28" s="18" t="n"/>
      <c r="W28" s="18" t="n"/>
      <c r="X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30" t="n"/>
      <c r="J29" s="30" t="n"/>
      <c r="K29" s="30" t="n"/>
      <c r="L29" s="22" t="n"/>
      <c r="M29" s="22" t="n"/>
      <c r="N29" s="22" t="n"/>
      <c r="O29" s="31" t="n"/>
      <c r="P29" s="22" t="n"/>
      <c r="Q29" s="18" t="n"/>
      <c r="R29" s="30" t="n"/>
      <c r="S29" s="22" t="n"/>
      <c r="T29" s="22" t="n"/>
      <c r="U29" s="22" t="n"/>
      <c r="V29" s="18" t="n"/>
      <c r="W29" s="18" t="n"/>
      <c r="X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30" t="n"/>
      <c r="J30" s="30" t="n"/>
      <c r="K30" s="30" t="n"/>
      <c r="L30" s="22" t="n"/>
      <c r="M30" s="22" t="n"/>
      <c r="N30" s="22" t="n"/>
      <c r="O30" s="31" t="n"/>
      <c r="P30" s="22" t="n"/>
      <c r="Q30" s="18" t="n"/>
      <c r="R30" s="30" t="n"/>
      <c r="S30" s="22" t="n"/>
      <c r="T30" s="22" t="n"/>
      <c r="U30" s="22" t="n"/>
      <c r="V30" s="18" t="n"/>
      <c r="W30" s="18" t="n"/>
      <c r="X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30" t="n"/>
      <c r="J31" s="30" t="n"/>
      <c r="K31" s="30" t="n"/>
      <c r="L31" s="22" t="n"/>
      <c r="M31" s="22" t="n"/>
      <c r="N31" s="22" t="n"/>
      <c r="O31" s="31" t="n"/>
      <c r="P31" s="22" t="n"/>
      <c r="Q31" s="18" t="n"/>
      <c r="R31" s="30" t="n"/>
      <c r="S31" s="22" t="n"/>
      <c r="T31" s="22" t="n"/>
      <c r="U31" s="22" t="n"/>
      <c r="V31" s="18" t="n"/>
      <c r="W31" s="18" t="n"/>
      <c r="X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30" t="n"/>
      <c r="J32" s="30" t="n"/>
      <c r="K32" s="30" t="n"/>
      <c r="L32" s="22" t="n"/>
      <c r="M32" s="22" t="n"/>
      <c r="N32" s="22" t="n"/>
      <c r="O32" s="31" t="n"/>
      <c r="P32" s="22" t="n"/>
      <c r="Q32" s="18" t="n"/>
      <c r="R32" s="30" t="n"/>
      <c r="S32" s="22" t="n"/>
      <c r="T32" s="22" t="n"/>
      <c r="U32" s="22" t="n"/>
      <c r="V32" s="18" t="n"/>
      <c r="W32" s="18" t="n"/>
      <c r="X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30" t="n"/>
      <c r="J33" s="30" t="n"/>
      <c r="K33" s="30" t="n"/>
      <c r="L33" s="22" t="n"/>
      <c r="M33" s="22" t="n"/>
      <c r="N33" s="22" t="n"/>
      <c r="O33" s="31" t="n"/>
      <c r="P33" s="22" t="n"/>
      <c r="Q33" s="18" t="n"/>
      <c r="R33" s="30" t="n"/>
      <c r="S33" s="22" t="n"/>
      <c r="T33" s="22" t="n"/>
      <c r="U33" s="22" t="n"/>
      <c r="V33" s="18" t="n"/>
      <c r="W33" s="18" t="n"/>
      <c r="X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30" t="n"/>
      <c r="J34" s="30" t="n"/>
      <c r="K34" s="30" t="n"/>
      <c r="L34" s="22" t="n"/>
      <c r="M34" s="22" t="n"/>
      <c r="N34" s="22" t="n"/>
      <c r="O34" s="31" t="n"/>
      <c r="P34" s="22" t="n"/>
      <c r="Q34" s="18" t="n"/>
      <c r="R34" s="30" t="n"/>
      <c r="S34" s="22" t="n"/>
      <c r="T34" s="22" t="n"/>
      <c r="U34" s="22" t="n"/>
      <c r="V34" s="18" t="n"/>
      <c r="W34" s="18" t="n"/>
      <c r="X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30" t="n"/>
      <c r="J35" s="30" t="n"/>
      <c r="K35" s="30" t="n"/>
      <c r="L35" s="22" t="n"/>
      <c r="M35" s="22" t="n"/>
      <c r="N35" s="22" t="n"/>
      <c r="O35" s="31" t="n"/>
      <c r="P35" s="22" t="n"/>
      <c r="Q35" s="18" t="n"/>
      <c r="R35" s="30" t="n"/>
      <c r="S35" s="22" t="n"/>
      <c r="T35" s="22" t="n"/>
      <c r="U35" s="22" t="n"/>
      <c r="V35" s="18" t="n"/>
      <c r="W35" s="18" t="n"/>
      <c r="X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30" t="n"/>
      <c r="J36" s="30" t="n"/>
      <c r="K36" s="30" t="n"/>
      <c r="L36" s="22" t="n"/>
      <c r="M36" s="22" t="n"/>
      <c r="N36" s="22" t="n"/>
      <c r="O36" s="31" t="n"/>
      <c r="P36" s="22" t="n"/>
      <c r="Q36" s="18" t="n"/>
      <c r="R36" s="30" t="n"/>
      <c r="S36" s="22" t="n"/>
      <c r="T36" s="22" t="n"/>
      <c r="U36" s="22" t="n"/>
      <c r="V36" s="18" t="n"/>
      <c r="W36" s="18" t="n"/>
      <c r="X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30" t="n"/>
      <c r="J37" s="30" t="n"/>
      <c r="K37" s="30" t="n"/>
      <c r="L37" s="22" t="n"/>
      <c r="M37" s="22" t="n"/>
      <c r="N37" s="22" t="n"/>
      <c r="O37" s="31" t="n"/>
      <c r="P37" s="22" t="n"/>
      <c r="Q37" s="18" t="n"/>
      <c r="R37" s="30" t="n"/>
      <c r="S37" s="22" t="n"/>
      <c r="T37" s="22" t="n"/>
      <c r="U37" s="22" t="n"/>
      <c r="V37" s="18" t="n"/>
      <c r="W37" s="18" t="n"/>
      <c r="X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30" t="n"/>
      <c r="J38" s="30" t="n"/>
      <c r="K38" s="30" t="n"/>
      <c r="L38" s="22" t="n"/>
      <c r="M38" s="22" t="n"/>
      <c r="N38" s="22" t="n"/>
      <c r="O38" s="31" t="n"/>
      <c r="P38" s="22" t="n"/>
      <c r="Q38" s="18" t="n"/>
      <c r="R38" s="30" t="n"/>
      <c r="S38" s="22" t="n"/>
      <c r="T38" s="22" t="n"/>
      <c r="U38" s="22" t="n"/>
      <c r="V38" s="18" t="n"/>
      <c r="W38" s="18" t="n"/>
      <c r="X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30" t="n"/>
      <c r="J39" s="30" t="n"/>
      <c r="K39" s="30" t="n"/>
      <c r="L39" s="22" t="n"/>
      <c r="M39" s="22" t="n"/>
      <c r="N39" s="22" t="n"/>
      <c r="O39" s="31" t="n"/>
      <c r="P39" s="22" t="n"/>
      <c r="Q39" s="18" t="n"/>
      <c r="R39" s="30" t="n"/>
      <c r="S39" s="22" t="n"/>
      <c r="T39" s="22" t="n"/>
      <c r="U39" s="22" t="n"/>
      <c r="V39" s="18" t="n"/>
      <c r="W39" s="18" t="n"/>
      <c r="X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30" t="n"/>
      <c r="J40" s="30" t="n"/>
      <c r="K40" s="30" t="n"/>
      <c r="L40" s="22" t="n"/>
      <c r="M40" s="22" t="n"/>
      <c r="N40" s="22" t="n"/>
      <c r="O40" s="31" t="n"/>
      <c r="P40" s="22" t="n"/>
      <c r="Q40" s="18" t="n"/>
      <c r="R40" s="30" t="n"/>
      <c r="S40" s="22" t="n"/>
      <c r="T40" s="22" t="n"/>
      <c r="U40" s="22" t="n"/>
      <c r="V40" s="18" t="n"/>
      <c r="W40" s="18" t="n"/>
      <c r="X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30" t="n"/>
      <c r="J41" s="30" t="n"/>
      <c r="K41" s="30" t="n"/>
      <c r="L41" s="22" t="n"/>
      <c r="M41" s="22" t="n"/>
      <c r="N41" s="22" t="n"/>
      <c r="O41" s="31" t="n"/>
      <c r="P41" s="22" t="n"/>
      <c r="Q41" s="18" t="n"/>
      <c r="R41" s="30" t="n"/>
      <c r="S41" s="22" t="n"/>
      <c r="T41" s="22" t="n"/>
      <c r="U41" s="22" t="n"/>
      <c r="V41" s="18" t="n"/>
      <c r="W41" s="18" t="n"/>
      <c r="X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30" t="n"/>
      <c r="J42" s="30" t="n"/>
      <c r="K42" s="30" t="n"/>
      <c r="L42" s="22" t="n"/>
      <c r="M42" s="22" t="n"/>
      <c r="N42" s="22" t="n"/>
      <c r="O42" s="31" t="n"/>
      <c r="P42" s="22" t="n"/>
      <c r="Q42" s="18" t="n"/>
      <c r="R42" s="30" t="n"/>
      <c r="S42" s="22" t="n"/>
      <c r="T42" s="22" t="n"/>
      <c r="U42" s="22" t="n"/>
      <c r="V42" s="18" t="n"/>
      <c r="W42" s="18" t="n"/>
      <c r="X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30" t="n"/>
      <c r="J43" s="30" t="n"/>
      <c r="K43" s="30" t="n"/>
      <c r="L43" s="22" t="n"/>
      <c r="M43" s="22" t="n"/>
      <c r="N43" s="22" t="n"/>
      <c r="O43" s="31" t="n"/>
      <c r="P43" s="22" t="n"/>
      <c r="Q43" s="18" t="n"/>
      <c r="R43" s="30" t="n"/>
      <c r="S43" s="22" t="n"/>
      <c r="T43" s="22" t="n"/>
      <c r="U43" s="22" t="n"/>
      <c r="V43" s="18" t="n"/>
      <c r="W43" s="18" t="n"/>
      <c r="X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30" t="n"/>
      <c r="J44" s="30" t="n"/>
      <c r="K44" s="30" t="n"/>
      <c r="L44" s="22" t="n"/>
      <c r="M44" s="22" t="n"/>
      <c r="N44" s="22" t="n"/>
      <c r="O44" s="31" t="n"/>
      <c r="P44" s="22" t="n"/>
      <c r="Q44" s="18" t="n"/>
      <c r="R44" s="30" t="n"/>
      <c r="S44" s="22" t="n"/>
      <c r="T44" s="22" t="n"/>
      <c r="U44" s="22" t="n"/>
      <c r="V44" s="18" t="n"/>
      <c r="W44" s="18" t="n"/>
      <c r="X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30" t="n"/>
      <c r="J45" s="30" t="n"/>
      <c r="K45" s="30" t="n"/>
      <c r="L45" s="22" t="n"/>
      <c r="M45" s="22" t="n"/>
      <c r="N45" s="22" t="n"/>
      <c r="O45" s="31" t="n"/>
      <c r="P45" s="22" t="n"/>
      <c r="Q45" s="18" t="n"/>
      <c r="R45" s="30" t="n"/>
      <c r="S45" s="22" t="n"/>
      <c r="T45" s="22" t="n"/>
      <c r="U45" s="22" t="n"/>
      <c r="V45" s="18" t="n"/>
      <c r="W45" s="18" t="n"/>
      <c r="X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30" t="n"/>
      <c r="J46" s="30" t="n"/>
      <c r="K46" s="30" t="n"/>
      <c r="L46" s="22" t="n"/>
      <c r="M46" s="22" t="n"/>
      <c r="N46" s="22" t="n"/>
      <c r="O46" s="31" t="n"/>
      <c r="P46" s="22" t="n"/>
      <c r="Q46" s="18" t="n"/>
      <c r="R46" s="30" t="n"/>
      <c r="S46" s="22" t="n"/>
      <c r="T46" s="22" t="n"/>
      <c r="U46" s="22" t="n"/>
      <c r="V46" s="18" t="n"/>
      <c r="W46" s="18" t="n"/>
      <c r="X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30" t="n"/>
      <c r="J47" s="30" t="n"/>
      <c r="K47" s="30" t="n"/>
      <c r="L47" s="22" t="n"/>
      <c r="M47" s="22" t="n"/>
      <c r="N47" s="22" t="n"/>
      <c r="O47" s="31" t="n"/>
      <c r="P47" s="22" t="n"/>
      <c r="Q47" s="18" t="n"/>
      <c r="R47" s="30" t="n"/>
      <c r="S47" s="22" t="n"/>
      <c r="T47" s="22" t="n"/>
      <c r="U47" s="22" t="n"/>
      <c r="V47" s="18" t="n"/>
      <c r="W47" s="18" t="n"/>
      <c r="X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30" t="n"/>
      <c r="J48" s="30" t="n"/>
      <c r="K48" s="30" t="n"/>
      <c r="L48" s="22" t="n"/>
      <c r="M48" s="22" t="n"/>
      <c r="N48" s="22" t="n"/>
      <c r="O48" s="31" t="n"/>
      <c r="P48" s="22" t="n"/>
      <c r="Q48" s="18" t="n"/>
      <c r="R48" s="30" t="n"/>
      <c r="S48" s="22" t="n"/>
      <c r="T48" s="22" t="n"/>
      <c r="U48" s="22" t="n"/>
      <c r="V48" s="18" t="n"/>
      <c r="W48" s="18" t="n"/>
      <c r="X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30" t="n"/>
      <c r="J49" s="30" t="n"/>
      <c r="K49" s="30" t="n"/>
      <c r="L49" s="22" t="n"/>
      <c r="M49" s="22" t="n"/>
      <c r="N49" s="22" t="n"/>
      <c r="O49" s="31" t="n"/>
      <c r="P49" s="22" t="n"/>
      <c r="Q49" s="18" t="n"/>
      <c r="R49" s="30" t="n"/>
      <c r="S49" s="22" t="n"/>
      <c r="T49" s="22" t="n"/>
      <c r="U49" s="22" t="n"/>
      <c r="V49" s="18" t="n"/>
      <c r="W49" s="18" t="n"/>
      <c r="X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30" t="n"/>
      <c r="J50" s="30" t="n"/>
      <c r="K50" s="30" t="n"/>
      <c r="L50" s="22" t="n"/>
      <c r="M50" s="22" t="n"/>
      <c r="N50" s="22" t="n"/>
      <c r="O50" s="31" t="n"/>
      <c r="P50" s="22" t="n"/>
      <c r="Q50" s="18" t="n"/>
      <c r="R50" s="30" t="n"/>
      <c r="S50" s="22" t="n"/>
      <c r="T50" s="22" t="n"/>
      <c r="U50" s="22" t="n"/>
      <c r="V50" s="18" t="n"/>
      <c r="W50" s="18" t="n"/>
      <c r="X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30" t="n"/>
      <c r="J51" s="30" t="n"/>
      <c r="K51" s="30" t="n"/>
      <c r="L51" s="22" t="n"/>
      <c r="M51" s="22" t="n"/>
      <c r="N51" s="22" t="n"/>
      <c r="O51" s="31" t="n"/>
      <c r="P51" s="22" t="n"/>
      <c r="Q51" s="18" t="n"/>
      <c r="R51" s="30" t="n"/>
      <c r="S51" s="22" t="n"/>
      <c r="T51" s="22" t="n"/>
      <c r="U51" s="22" t="n"/>
      <c r="V51" s="18" t="n"/>
      <c r="W51" s="18" t="n"/>
      <c r="X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30" t="n"/>
      <c r="J52" s="30" t="n"/>
      <c r="K52" s="30" t="n"/>
      <c r="L52" s="22" t="n"/>
      <c r="M52" s="22" t="n"/>
      <c r="N52" s="22" t="n"/>
      <c r="O52" s="31" t="n"/>
      <c r="P52" s="22" t="n"/>
      <c r="Q52" s="18" t="n"/>
      <c r="R52" s="30" t="n"/>
      <c r="S52" s="22" t="n"/>
      <c r="T52" s="22" t="n"/>
      <c r="U52" s="22" t="n"/>
      <c r="V52" s="18" t="n"/>
      <c r="W52" s="18" t="n"/>
      <c r="X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30" t="n"/>
      <c r="J53" s="30" t="n"/>
      <c r="K53" s="30" t="n"/>
      <c r="L53" s="22" t="n"/>
      <c r="M53" s="22" t="n"/>
      <c r="N53" s="22" t="n"/>
      <c r="O53" s="31" t="n"/>
      <c r="P53" s="22" t="n"/>
      <c r="Q53" s="18" t="n"/>
      <c r="R53" s="30" t="n"/>
      <c r="S53" s="22" t="n"/>
      <c r="T53" s="22" t="n"/>
      <c r="U53" s="22" t="n"/>
      <c r="V53" s="18" t="n"/>
      <c r="W53" s="18" t="n"/>
      <c r="X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30" t="n"/>
      <c r="J54" s="30" t="n"/>
      <c r="K54" s="30" t="n"/>
      <c r="L54" s="22" t="n"/>
      <c r="M54" s="22" t="n"/>
      <c r="N54" s="22" t="n"/>
      <c r="O54" s="31" t="n"/>
      <c r="P54" s="22" t="n"/>
      <c r="Q54" s="18" t="n"/>
      <c r="R54" s="30" t="n"/>
      <c r="S54" s="22" t="n"/>
      <c r="T54" s="22" t="n"/>
      <c r="U54" s="22" t="n"/>
      <c r="V54" s="18" t="n"/>
      <c r="W54" s="18" t="n"/>
      <c r="X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30" t="n"/>
      <c r="J55" s="30" t="n"/>
      <c r="K55" s="30" t="n"/>
      <c r="L55" s="22" t="n"/>
      <c r="M55" s="22" t="n"/>
      <c r="N55" s="22" t="n"/>
      <c r="O55" s="31" t="n"/>
      <c r="P55" s="22" t="n"/>
      <c r="Q55" s="18" t="n"/>
      <c r="R55" s="30" t="n"/>
      <c r="S55" s="22" t="n"/>
      <c r="T55" s="22" t="n"/>
      <c r="U55" s="22" t="n"/>
      <c r="V55" s="18" t="n"/>
      <c r="W55" s="18" t="n"/>
      <c r="X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30" t="n"/>
      <c r="J56" s="30" t="n"/>
      <c r="K56" s="30" t="n"/>
      <c r="L56" s="22" t="n"/>
      <c r="M56" s="22" t="n"/>
      <c r="N56" s="22" t="n"/>
      <c r="O56" s="31" t="n"/>
      <c r="P56" s="22" t="n"/>
      <c r="Q56" s="18" t="n"/>
      <c r="R56" s="30" t="n"/>
      <c r="S56" s="22" t="n"/>
      <c r="T56" s="22" t="n"/>
      <c r="U56" s="22" t="n"/>
      <c r="V56" s="18" t="n"/>
      <c r="W56" s="18" t="n"/>
      <c r="X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30" t="n"/>
      <c r="J57" s="30" t="n"/>
      <c r="K57" s="30" t="n"/>
      <c r="L57" s="22" t="n"/>
      <c r="M57" s="22" t="n"/>
      <c r="N57" s="22" t="n"/>
      <c r="O57" s="31" t="n"/>
      <c r="P57" s="22" t="n"/>
      <c r="Q57" s="18" t="n"/>
      <c r="R57" s="30" t="n"/>
      <c r="S57" s="22" t="n"/>
      <c r="T57" s="22" t="n"/>
      <c r="U57" s="22" t="n"/>
      <c r="V57" s="18" t="n"/>
      <c r="W57" s="18" t="n"/>
      <c r="X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30" t="n"/>
      <c r="J58" s="30" t="n"/>
      <c r="K58" s="30" t="n"/>
      <c r="L58" s="22" t="n"/>
      <c r="M58" s="22" t="n"/>
      <c r="N58" s="22" t="n"/>
      <c r="O58" s="31" t="n"/>
      <c r="P58" s="22" t="n"/>
      <c r="Q58" s="18" t="n"/>
      <c r="R58" s="30" t="n"/>
      <c r="S58" s="22" t="n"/>
      <c r="T58" s="22" t="n"/>
      <c r="U58" s="22" t="n"/>
      <c r="V58" s="18" t="n"/>
      <c r="W58" s="18" t="n"/>
      <c r="X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30" t="n"/>
      <c r="J59" s="30" t="n"/>
      <c r="K59" s="30" t="n"/>
      <c r="L59" s="22" t="n"/>
      <c r="M59" s="22" t="n"/>
      <c r="N59" s="22" t="n"/>
      <c r="O59" s="31" t="n"/>
      <c r="P59" s="22" t="n"/>
      <c r="Q59" s="18" t="n"/>
      <c r="R59" s="30" t="n"/>
      <c r="S59" s="22" t="n"/>
      <c r="T59" s="22" t="n"/>
      <c r="U59" s="22" t="n"/>
      <c r="V59" s="18" t="n"/>
      <c r="W59" s="18" t="n"/>
      <c r="X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30" t="n"/>
      <c r="J60" s="30" t="n"/>
      <c r="K60" s="30" t="n"/>
      <c r="L60" s="22" t="n"/>
      <c r="M60" s="22" t="n"/>
      <c r="N60" s="22" t="n"/>
      <c r="O60" s="31" t="n"/>
      <c r="P60" s="22" t="n"/>
      <c r="Q60" s="18" t="n"/>
      <c r="R60" s="30" t="n"/>
      <c r="S60" s="22" t="n"/>
      <c r="T60" s="22" t="n"/>
      <c r="U60" s="22" t="n"/>
      <c r="V60" s="18" t="n"/>
      <c r="W60" s="18" t="n"/>
      <c r="X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30" t="n"/>
      <c r="J61" s="30" t="n"/>
      <c r="K61" s="30" t="n"/>
      <c r="L61" s="22" t="n"/>
      <c r="M61" s="22" t="n"/>
      <c r="N61" s="22" t="n"/>
      <c r="O61" s="31" t="n"/>
      <c r="P61" s="22" t="n"/>
      <c r="Q61" s="18" t="n"/>
      <c r="R61" s="30" t="n"/>
      <c r="S61" s="22" t="n"/>
      <c r="T61" s="22" t="n"/>
      <c r="U61" s="22" t="n"/>
      <c r="V61" s="18" t="n"/>
      <c r="W61" s="18" t="n"/>
      <c r="X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  <c r="I62" s="30" t="n"/>
      <c r="J62" s="30" t="n"/>
      <c r="K62" s="30" t="n"/>
      <c r="L62" s="22" t="n"/>
      <c r="M62" s="22" t="n"/>
      <c r="N62" s="22" t="n"/>
      <c r="O62" s="31" t="n"/>
      <c r="P62" s="22" t="n"/>
      <c r="Q62" s="18" t="n"/>
      <c r="R62" s="30" t="n"/>
      <c r="S62" s="22" t="n"/>
      <c r="T62" s="22" t="n"/>
      <c r="U62" s="22" t="n"/>
      <c r="V62" s="18" t="n"/>
      <c r="W62" s="18" t="n"/>
      <c r="X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  <c r="I63" s="30" t="n"/>
      <c r="J63" s="30" t="n"/>
      <c r="K63" s="30" t="n"/>
      <c r="L63" s="22" t="n"/>
      <c r="M63" s="22" t="n"/>
      <c r="N63" s="22" t="n"/>
      <c r="O63" s="31" t="n"/>
      <c r="P63" s="22" t="n"/>
      <c r="Q63" s="18" t="n"/>
      <c r="R63" s="30" t="n"/>
      <c r="S63" s="22" t="n"/>
      <c r="T63" s="22" t="n"/>
      <c r="U63" s="22" t="n"/>
      <c r="V63" s="18" t="n"/>
      <c r="W63" s="18" t="n"/>
      <c r="X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  <c r="I64" s="30" t="n"/>
      <c r="J64" s="30" t="n"/>
      <c r="K64" s="30" t="n"/>
      <c r="L64" s="22" t="n"/>
      <c r="M64" s="22" t="n"/>
      <c r="N64" s="22" t="n"/>
      <c r="O64" s="31" t="n"/>
      <c r="P64" s="22" t="n"/>
      <c r="Q64" s="18" t="n"/>
      <c r="R64" s="30" t="n"/>
      <c r="S64" s="22" t="n"/>
      <c r="T64" s="22" t="n"/>
      <c r="U64" s="22" t="n"/>
      <c r="V64" s="18" t="n"/>
      <c r="W64" s="18" t="n"/>
      <c r="X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  <c r="I65" s="30" t="n"/>
      <c r="J65" s="30" t="n"/>
      <c r="K65" s="30" t="n"/>
      <c r="L65" s="22" t="n"/>
      <c r="M65" s="22" t="n"/>
      <c r="N65" s="22" t="n"/>
      <c r="O65" s="31" t="n"/>
      <c r="P65" s="22" t="n"/>
      <c r="Q65" s="18" t="n"/>
      <c r="R65" s="30" t="n"/>
      <c r="S65" s="22" t="n"/>
      <c r="T65" s="22" t="n"/>
      <c r="U65" s="22" t="n"/>
      <c r="V65" s="18" t="n"/>
      <c r="W65" s="18" t="n"/>
      <c r="X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  <c r="I66" s="30" t="n"/>
      <c r="J66" s="30" t="n"/>
      <c r="K66" s="30" t="n"/>
      <c r="L66" s="22" t="n"/>
      <c r="M66" s="22" t="n"/>
      <c r="N66" s="22" t="n"/>
      <c r="O66" s="31" t="n"/>
      <c r="P66" s="22" t="n"/>
      <c r="Q66" s="18" t="n"/>
      <c r="R66" s="30" t="n"/>
      <c r="S66" s="22" t="n"/>
      <c r="T66" s="22" t="n"/>
      <c r="U66" s="22" t="n"/>
      <c r="V66" s="18" t="n"/>
      <c r="W66" s="18" t="n"/>
      <c r="X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  <c r="I67" s="30" t="n"/>
      <c r="J67" s="30" t="n"/>
      <c r="K67" s="30" t="n"/>
      <c r="L67" s="22" t="n"/>
      <c r="M67" s="22" t="n"/>
      <c r="N67" s="22" t="n"/>
      <c r="O67" s="31" t="n"/>
      <c r="P67" s="22" t="n"/>
      <c r="Q67" s="18" t="n"/>
      <c r="R67" s="30" t="n"/>
      <c r="S67" s="22" t="n"/>
      <c r="T67" s="22" t="n"/>
      <c r="U67" s="22" t="n"/>
      <c r="V67" s="18" t="n"/>
      <c r="W67" s="18" t="n"/>
      <c r="X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  <c r="I68" s="30" t="n"/>
      <c r="J68" s="30" t="n"/>
      <c r="K68" s="30" t="n"/>
      <c r="L68" s="22" t="n"/>
      <c r="M68" s="22" t="n"/>
      <c r="N68" s="22" t="n"/>
      <c r="O68" s="31" t="n"/>
      <c r="P68" s="22" t="n"/>
      <c r="Q68" s="18" t="n"/>
      <c r="R68" s="30" t="n"/>
      <c r="S68" s="22" t="n"/>
      <c r="T68" s="22" t="n"/>
      <c r="U68" s="22" t="n"/>
      <c r="V68" s="18" t="n"/>
      <c r="W68" s="18" t="n"/>
      <c r="X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  <c r="I69" s="30" t="n"/>
      <c r="J69" s="30" t="n"/>
      <c r="K69" s="30" t="n"/>
      <c r="L69" s="22" t="n"/>
      <c r="M69" s="22" t="n"/>
      <c r="N69" s="22" t="n"/>
      <c r="O69" s="31" t="n"/>
      <c r="P69" s="22" t="n"/>
      <c r="Q69" s="18" t="n"/>
      <c r="R69" s="30" t="n"/>
      <c r="S69" s="22" t="n"/>
      <c r="T69" s="22" t="n"/>
      <c r="U69" s="22" t="n"/>
      <c r="V69" s="18" t="n"/>
      <c r="W69" s="18" t="n"/>
      <c r="X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  <c r="I70" s="30" t="n"/>
      <c r="J70" s="30" t="n"/>
      <c r="K70" s="30" t="n"/>
      <c r="L70" s="22" t="n"/>
      <c r="M70" s="22" t="n"/>
      <c r="N70" s="22" t="n"/>
      <c r="O70" s="31" t="n"/>
      <c r="P70" s="22" t="n"/>
      <c r="Q70" s="18" t="n"/>
      <c r="R70" s="30" t="n"/>
      <c r="S70" s="22" t="n"/>
      <c r="T70" s="22" t="n"/>
      <c r="U70" s="22" t="n"/>
      <c r="V70" s="18" t="n"/>
      <c r="W70" s="18" t="n"/>
      <c r="X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30" t="n"/>
      <c r="J71" s="30" t="n"/>
      <c r="K71" s="30" t="n"/>
      <c r="L71" s="22" t="n"/>
      <c r="M71" s="22" t="n"/>
      <c r="N71" s="22" t="n"/>
      <c r="O71" s="31" t="n"/>
      <c r="P71" s="22" t="n"/>
      <c r="Q71" s="18" t="n"/>
      <c r="R71" s="30" t="n"/>
      <c r="S71" s="22" t="n"/>
      <c r="T71" s="22" t="n"/>
      <c r="U71" s="22" t="n"/>
      <c r="V71" s="18" t="n"/>
      <c r="W71" s="18" t="n"/>
      <c r="X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  <c r="I72" s="30" t="n"/>
      <c r="J72" s="30" t="n"/>
      <c r="K72" s="30" t="n"/>
      <c r="L72" s="22" t="n"/>
      <c r="M72" s="22" t="n"/>
      <c r="N72" s="22" t="n"/>
      <c r="O72" s="31" t="n"/>
      <c r="P72" s="22" t="n"/>
      <c r="Q72" s="18" t="n"/>
      <c r="R72" s="30" t="n"/>
      <c r="S72" s="22" t="n"/>
      <c r="T72" s="22" t="n"/>
      <c r="U72" s="22" t="n"/>
      <c r="V72" s="18" t="n"/>
      <c r="W72" s="18" t="n"/>
      <c r="X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  <c r="I73" s="30" t="n"/>
      <c r="J73" s="30" t="n"/>
      <c r="K73" s="30" t="n"/>
      <c r="L73" s="22" t="n"/>
      <c r="M73" s="22" t="n"/>
      <c r="N73" s="22" t="n"/>
      <c r="O73" s="31" t="n"/>
      <c r="P73" s="22" t="n"/>
      <c r="Q73" s="18" t="n"/>
      <c r="R73" s="30" t="n"/>
      <c r="S73" s="22" t="n"/>
      <c r="T73" s="22" t="n"/>
      <c r="U73" s="22" t="n"/>
      <c r="V73" s="18" t="n"/>
      <c r="W73" s="18" t="n"/>
      <c r="X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30" t="n"/>
      <c r="J74" s="30" t="n"/>
      <c r="K74" s="30" t="n"/>
      <c r="L74" s="22" t="n"/>
      <c r="M74" s="22" t="n"/>
      <c r="N74" s="22" t="n"/>
      <c r="O74" s="31" t="n"/>
      <c r="P74" s="22" t="n"/>
      <c r="Q74" s="18" t="n"/>
      <c r="R74" s="30" t="n"/>
      <c r="S74" s="22" t="n"/>
      <c r="T74" s="22" t="n"/>
      <c r="U74" s="22" t="n"/>
      <c r="V74" s="18" t="n"/>
      <c r="W74" s="18" t="n"/>
      <c r="X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  <c r="I75" s="30" t="n"/>
      <c r="J75" s="30" t="n"/>
      <c r="K75" s="30" t="n"/>
      <c r="L75" s="22" t="n"/>
      <c r="M75" s="22" t="n"/>
      <c r="N75" s="22" t="n"/>
      <c r="O75" s="31" t="n"/>
      <c r="P75" s="22" t="n"/>
      <c r="Q75" s="18" t="n"/>
      <c r="R75" s="30" t="n"/>
      <c r="S75" s="22" t="n"/>
      <c r="T75" s="22" t="n"/>
      <c r="U75" s="22" t="n"/>
      <c r="V75" s="18" t="n"/>
      <c r="W75" s="18" t="n"/>
      <c r="X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  <c r="I76" s="30" t="n"/>
      <c r="J76" s="30" t="n"/>
      <c r="K76" s="30" t="n"/>
      <c r="L76" s="22" t="n"/>
      <c r="M76" s="22" t="n"/>
      <c r="N76" s="22" t="n"/>
      <c r="O76" s="31" t="n"/>
      <c r="P76" s="22" t="n"/>
      <c r="Q76" s="18" t="n"/>
      <c r="R76" s="30" t="n"/>
      <c r="S76" s="22" t="n"/>
      <c r="T76" s="22" t="n"/>
      <c r="U76" s="22" t="n"/>
      <c r="V76" s="18" t="n"/>
      <c r="W76" s="18" t="n"/>
      <c r="X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  <c r="I77" s="30" t="n"/>
      <c r="J77" s="30" t="n"/>
      <c r="K77" s="30" t="n"/>
      <c r="L77" s="22" t="n"/>
      <c r="M77" s="22" t="n"/>
      <c r="N77" s="22" t="n"/>
      <c r="O77" s="31" t="n"/>
      <c r="P77" s="22" t="n"/>
      <c r="Q77" s="18" t="n"/>
      <c r="R77" s="30" t="n"/>
      <c r="S77" s="22" t="n"/>
      <c r="T77" s="22" t="n"/>
      <c r="U77" s="22" t="n"/>
      <c r="V77" s="18" t="n"/>
      <c r="W77" s="18" t="n"/>
      <c r="X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  <c r="I78" s="30" t="n"/>
      <c r="J78" s="30" t="n"/>
      <c r="K78" s="30" t="n"/>
      <c r="L78" s="22" t="n"/>
      <c r="M78" s="22" t="n"/>
      <c r="N78" s="22" t="n"/>
      <c r="O78" s="31" t="n"/>
      <c r="P78" s="22" t="n"/>
      <c r="Q78" s="18" t="n"/>
      <c r="R78" s="30" t="n"/>
      <c r="S78" s="22" t="n"/>
      <c r="T78" s="22" t="n"/>
      <c r="U78" s="22" t="n"/>
      <c r="V78" s="18" t="n"/>
      <c r="W78" s="18" t="n"/>
      <c r="X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  <c r="I79" s="30" t="n"/>
      <c r="J79" s="30" t="n"/>
      <c r="K79" s="30" t="n"/>
      <c r="L79" s="22" t="n"/>
      <c r="M79" s="22" t="n"/>
      <c r="N79" s="22" t="n"/>
      <c r="O79" s="31" t="n"/>
      <c r="P79" s="22" t="n"/>
      <c r="Q79" s="18" t="n"/>
      <c r="R79" s="30" t="n"/>
      <c r="S79" s="22" t="n"/>
      <c r="T79" s="22" t="n"/>
      <c r="U79" s="22" t="n"/>
      <c r="V79" s="18" t="n"/>
      <c r="W79" s="18" t="n"/>
      <c r="X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  <c r="I80" s="30" t="n"/>
      <c r="J80" s="30" t="n"/>
      <c r="K80" s="30" t="n"/>
      <c r="L80" s="22" t="n"/>
      <c r="M80" s="22" t="n"/>
      <c r="N80" s="22" t="n"/>
      <c r="O80" s="31" t="n"/>
      <c r="P80" s="22" t="n"/>
      <c r="Q80" s="18" t="n"/>
      <c r="R80" s="30" t="n"/>
      <c r="S80" s="22" t="n"/>
      <c r="T80" s="22" t="n"/>
      <c r="U80" s="22" t="n"/>
      <c r="V80" s="18" t="n"/>
      <c r="W80" s="18" t="n"/>
      <c r="X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30" t="n"/>
      <c r="J81" s="30" t="n"/>
      <c r="K81" s="30" t="n"/>
      <c r="L81" s="22" t="n"/>
      <c r="M81" s="22" t="n"/>
      <c r="N81" s="22" t="n"/>
      <c r="O81" s="31" t="n"/>
      <c r="P81" s="22" t="n"/>
      <c r="Q81" s="18" t="n"/>
      <c r="R81" s="30" t="n"/>
      <c r="S81" s="22" t="n"/>
      <c r="T81" s="22" t="n"/>
      <c r="U81" s="22" t="n"/>
      <c r="V81" s="18" t="n"/>
      <c r="W81" s="18" t="n"/>
      <c r="X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  <c r="I82" s="30" t="n"/>
      <c r="J82" s="30" t="n"/>
      <c r="K82" s="30" t="n"/>
      <c r="L82" s="22" t="n"/>
      <c r="M82" s="22" t="n"/>
      <c r="N82" s="22" t="n"/>
      <c r="O82" s="31" t="n"/>
      <c r="P82" s="22" t="n"/>
      <c r="Q82" s="18" t="n"/>
      <c r="R82" s="30" t="n"/>
      <c r="S82" s="22" t="n"/>
      <c r="T82" s="22" t="n"/>
      <c r="U82" s="22" t="n"/>
      <c r="V82" s="18" t="n"/>
      <c r="W82" s="18" t="n"/>
      <c r="X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  <c r="I83" s="30" t="n"/>
      <c r="J83" s="30" t="n"/>
      <c r="K83" s="30" t="n"/>
      <c r="L83" s="22" t="n"/>
      <c r="M83" s="22" t="n"/>
      <c r="N83" s="22" t="n"/>
      <c r="O83" s="31" t="n"/>
      <c r="P83" s="22" t="n"/>
      <c r="Q83" s="18" t="n"/>
      <c r="R83" s="30" t="n"/>
      <c r="S83" s="22" t="n"/>
      <c r="T83" s="22" t="n"/>
      <c r="U83" s="22" t="n"/>
      <c r="V83" s="18" t="n"/>
      <c r="W83" s="18" t="n"/>
      <c r="X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  <c r="I84" s="30" t="n"/>
      <c r="J84" s="30" t="n"/>
      <c r="K84" s="30" t="n"/>
      <c r="L84" s="22" t="n"/>
      <c r="M84" s="22" t="n"/>
      <c r="N84" s="22" t="n"/>
      <c r="O84" s="31" t="n"/>
      <c r="P84" s="22" t="n"/>
      <c r="Q84" s="18" t="n"/>
      <c r="R84" s="30" t="n"/>
      <c r="S84" s="22" t="n"/>
      <c r="T84" s="22" t="n"/>
      <c r="U84" s="22" t="n"/>
      <c r="V84" s="18" t="n"/>
      <c r="W84" s="18" t="n"/>
      <c r="X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  <c r="I85" s="30" t="n"/>
      <c r="J85" s="30" t="n"/>
      <c r="K85" s="30" t="n"/>
      <c r="L85" s="22" t="n"/>
      <c r="M85" s="22" t="n"/>
      <c r="N85" s="22" t="n"/>
      <c r="O85" s="31" t="n"/>
      <c r="P85" s="22" t="n"/>
      <c r="Q85" s="18" t="n"/>
      <c r="R85" s="30" t="n"/>
      <c r="S85" s="22" t="n"/>
      <c r="T85" s="22" t="n"/>
      <c r="U85" s="22" t="n"/>
      <c r="V85" s="18" t="n"/>
      <c r="W85" s="18" t="n"/>
      <c r="X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  <c r="I86" s="30" t="n"/>
      <c r="J86" s="30" t="n"/>
      <c r="K86" s="30" t="n"/>
      <c r="L86" s="22" t="n"/>
      <c r="M86" s="22" t="n"/>
      <c r="N86" s="22" t="n"/>
      <c r="O86" s="31" t="n"/>
      <c r="P86" s="22" t="n"/>
      <c r="Q86" s="18" t="n"/>
      <c r="R86" s="30" t="n"/>
      <c r="S86" s="22" t="n"/>
      <c r="T86" s="22" t="n"/>
      <c r="U86" s="22" t="n"/>
      <c r="V86" s="18" t="n"/>
      <c r="W86" s="18" t="n"/>
      <c r="X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  <c r="I87" s="30" t="n"/>
      <c r="J87" s="30" t="n"/>
      <c r="K87" s="30" t="n"/>
      <c r="L87" s="22" t="n"/>
      <c r="M87" s="22" t="n"/>
      <c r="N87" s="22" t="n"/>
      <c r="O87" s="31" t="n"/>
      <c r="P87" s="22" t="n"/>
      <c r="Q87" s="18" t="n"/>
      <c r="R87" s="30" t="n"/>
      <c r="S87" s="22" t="n"/>
      <c r="T87" s="22" t="n"/>
      <c r="U87" s="22" t="n"/>
      <c r="V87" s="18" t="n"/>
      <c r="W87" s="18" t="n"/>
      <c r="X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  <c r="I88" s="30" t="n"/>
      <c r="J88" s="30" t="n"/>
      <c r="K88" s="30" t="n"/>
      <c r="L88" s="22" t="n"/>
      <c r="M88" s="22" t="n"/>
      <c r="N88" s="22" t="n"/>
      <c r="O88" s="31" t="n"/>
      <c r="P88" s="22" t="n"/>
      <c r="Q88" s="18" t="n"/>
      <c r="R88" s="30" t="n"/>
      <c r="S88" s="22" t="n"/>
      <c r="T88" s="22" t="n"/>
      <c r="U88" s="22" t="n"/>
      <c r="V88" s="18" t="n"/>
      <c r="W88" s="18" t="n"/>
      <c r="X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  <c r="I89" s="30" t="n"/>
      <c r="J89" s="30" t="n"/>
      <c r="K89" s="30" t="n"/>
      <c r="L89" s="22" t="n"/>
      <c r="M89" s="22" t="n"/>
      <c r="N89" s="22" t="n"/>
      <c r="O89" s="31" t="n"/>
      <c r="P89" s="22" t="n"/>
      <c r="Q89" s="18" t="n"/>
      <c r="R89" s="30" t="n"/>
      <c r="S89" s="22" t="n"/>
      <c r="T89" s="22" t="n"/>
      <c r="U89" s="22" t="n"/>
      <c r="V89" s="18" t="n"/>
      <c r="W89" s="18" t="n"/>
      <c r="X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  <c r="I90" s="30" t="n"/>
      <c r="J90" s="30" t="n"/>
      <c r="K90" s="30" t="n"/>
      <c r="L90" s="22" t="n"/>
      <c r="M90" s="22" t="n"/>
      <c r="N90" s="22" t="n"/>
      <c r="O90" s="31" t="n"/>
      <c r="P90" s="22" t="n"/>
      <c r="Q90" s="18" t="n"/>
      <c r="R90" s="30" t="n"/>
      <c r="S90" s="22" t="n"/>
      <c r="T90" s="22" t="n"/>
      <c r="U90" s="22" t="n"/>
      <c r="V90" s="18" t="n"/>
      <c r="W90" s="18" t="n"/>
      <c r="X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30" t="n"/>
      <c r="J91" s="30" t="n"/>
      <c r="K91" s="30" t="n"/>
      <c r="L91" s="22" t="n"/>
      <c r="M91" s="22" t="n"/>
      <c r="N91" s="22" t="n"/>
      <c r="O91" s="31" t="n"/>
      <c r="P91" s="22" t="n"/>
      <c r="Q91" s="18" t="n"/>
      <c r="R91" s="30" t="n"/>
      <c r="S91" s="22" t="n"/>
      <c r="T91" s="22" t="n"/>
      <c r="U91" s="22" t="n"/>
      <c r="V91" s="18" t="n"/>
      <c r="W91" s="18" t="n"/>
      <c r="X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  <c r="I92" s="30" t="n"/>
      <c r="J92" s="30" t="n"/>
      <c r="K92" s="30" t="n"/>
      <c r="L92" s="22" t="n"/>
      <c r="M92" s="22" t="n"/>
      <c r="N92" s="22" t="n"/>
      <c r="O92" s="31" t="n"/>
      <c r="P92" s="22" t="n"/>
      <c r="Q92" s="18" t="n"/>
      <c r="R92" s="30" t="n"/>
      <c r="S92" s="22" t="n"/>
      <c r="T92" s="22" t="n"/>
      <c r="U92" s="22" t="n"/>
      <c r="V92" s="18" t="n"/>
      <c r="W92" s="18" t="n"/>
      <c r="X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  <c r="I93" s="30" t="n"/>
      <c r="J93" s="30" t="n"/>
      <c r="K93" s="30" t="n"/>
      <c r="L93" s="22" t="n"/>
      <c r="M93" s="22" t="n"/>
      <c r="N93" s="22" t="n"/>
      <c r="O93" s="31" t="n"/>
      <c r="P93" s="22" t="n"/>
      <c r="Q93" s="18" t="n"/>
      <c r="R93" s="30" t="n"/>
      <c r="S93" s="22" t="n"/>
      <c r="T93" s="22" t="n"/>
      <c r="U93" s="22" t="n"/>
      <c r="V93" s="18" t="n"/>
      <c r="W93" s="18" t="n"/>
      <c r="X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  <c r="I94" s="30" t="n"/>
      <c r="J94" s="30" t="n"/>
      <c r="K94" s="30" t="n"/>
      <c r="L94" s="22" t="n"/>
      <c r="M94" s="22" t="n"/>
      <c r="N94" s="22" t="n"/>
      <c r="O94" s="31" t="n"/>
      <c r="P94" s="22" t="n"/>
      <c r="Q94" s="18" t="n"/>
      <c r="R94" s="30" t="n"/>
      <c r="S94" s="22" t="n"/>
      <c r="T94" s="22" t="n"/>
      <c r="U94" s="22" t="n"/>
      <c r="V94" s="18" t="n"/>
      <c r="W94" s="18" t="n"/>
      <c r="X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  <c r="I95" s="30" t="n"/>
      <c r="J95" s="30" t="n"/>
      <c r="K95" s="30" t="n"/>
      <c r="L95" s="22" t="n"/>
      <c r="M95" s="22" t="n"/>
      <c r="N95" s="22" t="n"/>
      <c r="O95" s="31" t="n"/>
      <c r="P95" s="22" t="n"/>
      <c r="Q95" s="18" t="n"/>
      <c r="R95" s="30" t="n"/>
      <c r="S95" s="22" t="n"/>
      <c r="T95" s="22" t="n"/>
      <c r="U95" s="22" t="n"/>
      <c r="V95" s="18" t="n"/>
      <c r="W95" s="18" t="n"/>
      <c r="X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  <c r="I96" s="30" t="n"/>
      <c r="J96" s="30" t="n"/>
      <c r="K96" s="30" t="n"/>
      <c r="L96" s="22" t="n"/>
      <c r="M96" s="22" t="n"/>
      <c r="N96" s="22" t="n"/>
      <c r="O96" s="31" t="n"/>
      <c r="P96" s="22" t="n"/>
      <c r="Q96" s="18" t="n"/>
      <c r="R96" s="30" t="n"/>
      <c r="S96" s="22" t="n"/>
      <c r="T96" s="22" t="n"/>
      <c r="U96" s="22" t="n"/>
      <c r="V96" s="18" t="n"/>
      <c r="W96" s="18" t="n"/>
      <c r="X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  <c r="I97" s="30" t="n"/>
      <c r="J97" s="30" t="n"/>
      <c r="K97" s="30" t="n"/>
      <c r="L97" s="22" t="n"/>
      <c r="M97" s="22" t="n"/>
      <c r="N97" s="22" t="n"/>
      <c r="O97" s="31" t="n"/>
      <c r="P97" s="22" t="n"/>
      <c r="Q97" s="18" t="n"/>
      <c r="R97" s="30" t="n"/>
      <c r="S97" s="22" t="n"/>
      <c r="T97" s="22" t="n"/>
      <c r="U97" s="22" t="n"/>
      <c r="V97" s="18" t="n"/>
      <c r="W97" s="18" t="n"/>
      <c r="X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  <c r="I98" s="30" t="n"/>
      <c r="J98" s="30" t="n"/>
      <c r="K98" s="30" t="n"/>
      <c r="L98" s="22" t="n"/>
      <c r="M98" s="22" t="n"/>
      <c r="N98" s="22" t="n"/>
      <c r="O98" s="31" t="n"/>
      <c r="P98" s="22" t="n"/>
      <c r="Q98" s="18" t="n"/>
      <c r="R98" s="30" t="n"/>
      <c r="S98" s="22" t="n"/>
      <c r="T98" s="22" t="n"/>
      <c r="U98" s="22" t="n"/>
      <c r="V98" s="18" t="n"/>
      <c r="W98" s="18" t="n"/>
      <c r="X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  <c r="I99" s="30" t="n"/>
      <c r="J99" s="30" t="n"/>
      <c r="K99" s="30" t="n"/>
      <c r="L99" s="22" t="n"/>
      <c r="M99" s="22" t="n"/>
      <c r="N99" s="22" t="n"/>
      <c r="O99" s="31" t="n"/>
      <c r="P99" s="22" t="n"/>
      <c r="Q99" s="18" t="n"/>
      <c r="R99" s="30" t="n"/>
      <c r="S99" s="22" t="n"/>
      <c r="T99" s="22" t="n"/>
      <c r="U99" s="22" t="n"/>
      <c r="V99" s="18" t="n"/>
      <c r="W99" s="18" t="n"/>
      <c r="X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30" t="n"/>
      <c r="J100" s="30" t="n"/>
      <c r="K100" s="30" t="n"/>
      <c r="L100" s="22" t="n"/>
      <c r="M100" s="22" t="n"/>
      <c r="N100" s="22" t="n"/>
      <c r="O100" s="31" t="n"/>
      <c r="P100" s="22" t="n"/>
      <c r="Q100" s="18" t="n"/>
      <c r="R100" s="30" t="n"/>
      <c r="S100" s="22" t="n"/>
      <c r="T100" s="22" t="n"/>
      <c r="U100" s="22" t="n"/>
      <c r="V100" s="18" t="n"/>
      <c r="W100" s="18" t="n"/>
      <c r="X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  <c r="I101" s="30" t="n"/>
      <c r="J101" s="30" t="n"/>
      <c r="K101" s="30" t="n"/>
      <c r="L101" s="22" t="n"/>
      <c r="M101" s="22" t="n"/>
      <c r="N101" s="22" t="n"/>
      <c r="O101" s="31" t="n"/>
      <c r="P101" s="22" t="n"/>
      <c r="Q101" s="18" t="n"/>
      <c r="R101" s="30" t="n"/>
      <c r="S101" s="22" t="n"/>
      <c r="T101" s="22" t="n"/>
      <c r="U101" s="22" t="n"/>
      <c r="V101" s="18" t="n"/>
      <c r="W101" s="18" t="n"/>
      <c r="X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30" t="n"/>
      <c r="J102" s="30" t="n"/>
      <c r="K102" s="30" t="n"/>
      <c r="L102" s="22" t="n"/>
      <c r="M102" s="22" t="n"/>
      <c r="N102" s="22" t="n"/>
      <c r="O102" s="31" t="n"/>
      <c r="P102" s="22" t="n"/>
      <c r="Q102" s="18" t="n"/>
      <c r="R102" s="30" t="n"/>
      <c r="S102" s="22" t="n"/>
      <c r="T102" s="22" t="n"/>
      <c r="U102" s="22" t="n"/>
      <c r="V102" s="18" t="n"/>
      <c r="W102" s="18" t="n"/>
      <c r="X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  <c r="I103" s="30" t="n"/>
      <c r="J103" s="30" t="n"/>
      <c r="K103" s="30" t="n"/>
      <c r="L103" s="22" t="n"/>
      <c r="M103" s="22" t="n"/>
      <c r="N103" s="22" t="n"/>
      <c r="O103" s="31" t="n"/>
      <c r="P103" s="22" t="n"/>
      <c r="Q103" s="18" t="n"/>
      <c r="R103" s="30" t="n"/>
      <c r="S103" s="22" t="n"/>
      <c r="T103" s="22" t="n"/>
      <c r="U103" s="22" t="n"/>
      <c r="V103" s="18" t="n"/>
      <c r="W103" s="18" t="n"/>
      <c r="X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30" t="n"/>
      <c r="J104" s="30" t="n"/>
      <c r="K104" s="30" t="n"/>
      <c r="L104" s="22" t="n"/>
      <c r="M104" s="22" t="n"/>
      <c r="N104" s="22" t="n"/>
      <c r="O104" s="31" t="n"/>
      <c r="P104" s="22" t="n"/>
      <c r="Q104" s="18" t="n"/>
      <c r="R104" s="30" t="n"/>
      <c r="S104" s="22" t="n"/>
      <c r="T104" s="22" t="n"/>
      <c r="U104" s="22" t="n"/>
      <c r="V104" s="18" t="n"/>
      <c r="W104" s="18" t="n"/>
      <c r="X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30" t="n"/>
      <c r="J105" s="30" t="n"/>
      <c r="K105" s="30" t="n"/>
      <c r="L105" s="22" t="n"/>
      <c r="M105" s="22" t="n"/>
      <c r="N105" s="22" t="n"/>
      <c r="O105" s="31" t="n"/>
      <c r="P105" s="22" t="n"/>
      <c r="Q105" s="18" t="n"/>
      <c r="R105" s="30" t="n"/>
      <c r="S105" s="22" t="n"/>
      <c r="T105" s="22" t="n"/>
      <c r="U105" s="22" t="n"/>
      <c r="V105" s="18" t="n"/>
      <c r="W105" s="18" t="n"/>
      <c r="X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30" t="n"/>
      <c r="J106" s="30" t="n"/>
      <c r="K106" s="30" t="n"/>
      <c r="L106" s="22" t="n"/>
      <c r="M106" s="22" t="n"/>
      <c r="N106" s="22" t="n"/>
      <c r="O106" s="31" t="n"/>
      <c r="P106" s="22" t="n"/>
      <c r="Q106" s="18" t="n"/>
      <c r="R106" s="30" t="n"/>
      <c r="S106" s="22" t="n"/>
      <c r="T106" s="22" t="n"/>
      <c r="U106" s="22" t="n"/>
      <c r="V106" s="18" t="n"/>
      <c r="W106" s="18" t="n"/>
      <c r="X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  <c r="I107" s="30" t="n"/>
      <c r="J107" s="30" t="n"/>
      <c r="K107" s="30" t="n"/>
      <c r="L107" s="22" t="n"/>
      <c r="M107" s="22" t="n"/>
      <c r="N107" s="22" t="n"/>
      <c r="O107" s="31" t="n"/>
      <c r="P107" s="22" t="n"/>
      <c r="Q107" s="18" t="n"/>
      <c r="R107" s="30" t="n"/>
      <c r="S107" s="22" t="n"/>
      <c r="T107" s="22" t="n"/>
      <c r="U107" s="22" t="n"/>
      <c r="V107" s="18" t="n"/>
      <c r="W107" s="18" t="n"/>
      <c r="X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30" t="n"/>
      <c r="J108" s="30" t="n"/>
      <c r="K108" s="30" t="n"/>
      <c r="L108" s="22" t="n"/>
      <c r="M108" s="22" t="n"/>
      <c r="N108" s="22" t="n"/>
      <c r="O108" s="31" t="n"/>
      <c r="P108" s="22" t="n"/>
      <c r="Q108" s="18" t="n"/>
      <c r="R108" s="30" t="n"/>
      <c r="S108" s="22" t="n"/>
      <c r="T108" s="22" t="n"/>
      <c r="U108" s="22" t="n"/>
      <c r="V108" s="18" t="n"/>
      <c r="W108" s="18" t="n"/>
      <c r="X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  <c r="I109" s="30" t="n"/>
      <c r="J109" s="30" t="n"/>
      <c r="K109" s="30" t="n"/>
      <c r="L109" s="22" t="n"/>
      <c r="M109" s="22" t="n"/>
      <c r="N109" s="22" t="n"/>
      <c r="O109" s="31" t="n"/>
      <c r="P109" s="22" t="n"/>
      <c r="Q109" s="18" t="n"/>
      <c r="R109" s="30" t="n"/>
      <c r="S109" s="22" t="n"/>
      <c r="T109" s="22" t="n"/>
      <c r="U109" s="22" t="n"/>
      <c r="V109" s="18" t="n"/>
      <c r="W109" s="18" t="n"/>
      <c r="X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30" t="n"/>
      <c r="J110" s="30" t="n"/>
      <c r="K110" s="30" t="n"/>
      <c r="L110" s="22" t="n"/>
      <c r="M110" s="22" t="n"/>
      <c r="N110" s="22" t="n"/>
      <c r="O110" s="31" t="n"/>
      <c r="P110" s="22" t="n"/>
      <c r="Q110" s="18" t="n"/>
      <c r="R110" s="30" t="n"/>
      <c r="S110" s="22" t="n"/>
      <c r="T110" s="22" t="n"/>
      <c r="U110" s="22" t="n"/>
      <c r="V110" s="18" t="n"/>
      <c r="W110" s="18" t="n"/>
      <c r="X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  <c r="I111" s="30" t="n"/>
      <c r="J111" s="30" t="n"/>
      <c r="K111" s="30" t="n"/>
      <c r="L111" s="22" t="n"/>
      <c r="M111" s="22" t="n"/>
      <c r="N111" s="22" t="n"/>
      <c r="O111" s="31" t="n"/>
      <c r="P111" s="22" t="n"/>
      <c r="Q111" s="18" t="n"/>
      <c r="R111" s="30" t="n"/>
      <c r="S111" s="22" t="n"/>
      <c r="T111" s="22" t="n"/>
      <c r="U111" s="22" t="n"/>
      <c r="V111" s="18" t="n"/>
      <c r="W111" s="18" t="n"/>
      <c r="X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30" t="n"/>
      <c r="J112" s="30" t="n"/>
      <c r="K112" s="30" t="n"/>
      <c r="L112" s="22" t="n"/>
      <c r="M112" s="22" t="n"/>
      <c r="N112" s="22" t="n"/>
      <c r="O112" s="31" t="n"/>
      <c r="P112" s="22" t="n"/>
      <c r="Q112" s="18" t="n"/>
      <c r="R112" s="30" t="n"/>
      <c r="S112" s="22" t="n"/>
      <c r="T112" s="22" t="n"/>
      <c r="U112" s="22" t="n"/>
      <c r="V112" s="18" t="n"/>
      <c r="W112" s="18" t="n"/>
      <c r="X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  <c r="I113" s="30" t="n"/>
      <c r="J113" s="30" t="n"/>
      <c r="K113" s="30" t="n"/>
      <c r="L113" s="22" t="n"/>
      <c r="M113" s="22" t="n"/>
      <c r="N113" s="22" t="n"/>
      <c r="O113" s="31" t="n"/>
      <c r="P113" s="22" t="n"/>
      <c r="Q113" s="18" t="n"/>
      <c r="R113" s="30" t="n"/>
      <c r="S113" s="22" t="n"/>
      <c r="T113" s="22" t="n"/>
      <c r="U113" s="22" t="n"/>
      <c r="V113" s="18" t="n"/>
      <c r="W113" s="18" t="n"/>
      <c r="X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30" t="n"/>
      <c r="J114" s="30" t="n"/>
      <c r="K114" s="30" t="n"/>
      <c r="L114" s="22" t="n"/>
      <c r="M114" s="22" t="n"/>
      <c r="N114" s="22" t="n"/>
      <c r="O114" s="31" t="n"/>
      <c r="P114" s="22" t="n"/>
      <c r="Q114" s="18" t="n"/>
      <c r="R114" s="30" t="n"/>
      <c r="S114" s="22" t="n"/>
      <c r="T114" s="22" t="n"/>
      <c r="U114" s="22" t="n"/>
      <c r="V114" s="18" t="n"/>
      <c r="W114" s="18" t="n"/>
      <c r="X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  <c r="I115" s="30" t="n"/>
      <c r="J115" s="30" t="n"/>
      <c r="K115" s="30" t="n"/>
      <c r="L115" s="22" t="n"/>
      <c r="M115" s="22" t="n"/>
      <c r="N115" s="22" t="n"/>
      <c r="O115" s="31" t="n"/>
      <c r="P115" s="22" t="n"/>
      <c r="Q115" s="18" t="n"/>
      <c r="R115" s="30" t="n"/>
      <c r="S115" s="22" t="n"/>
      <c r="T115" s="22" t="n"/>
      <c r="U115" s="22" t="n"/>
      <c r="V115" s="18" t="n"/>
      <c r="W115" s="18" t="n"/>
      <c r="X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30" t="n"/>
      <c r="J116" s="30" t="n"/>
      <c r="K116" s="30" t="n"/>
      <c r="L116" s="22" t="n"/>
      <c r="M116" s="22" t="n"/>
      <c r="N116" s="22" t="n"/>
      <c r="O116" s="31" t="n"/>
      <c r="P116" s="22" t="n"/>
      <c r="Q116" s="18" t="n"/>
      <c r="R116" s="30" t="n"/>
      <c r="S116" s="22" t="n"/>
      <c r="T116" s="22" t="n"/>
      <c r="U116" s="22" t="n"/>
      <c r="V116" s="18" t="n"/>
      <c r="W116" s="18" t="n"/>
      <c r="X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  <c r="I117" s="30" t="n"/>
      <c r="J117" s="30" t="n"/>
      <c r="K117" s="30" t="n"/>
      <c r="L117" s="22" t="n"/>
      <c r="M117" s="22" t="n"/>
      <c r="N117" s="22" t="n"/>
      <c r="O117" s="31" t="n"/>
      <c r="P117" s="22" t="n"/>
      <c r="Q117" s="18" t="n"/>
      <c r="R117" s="30" t="n"/>
      <c r="S117" s="22" t="n"/>
      <c r="T117" s="22" t="n"/>
      <c r="U117" s="22" t="n"/>
      <c r="V117" s="18" t="n"/>
      <c r="W117" s="18" t="n"/>
      <c r="X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30" t="n"/>
      <c r="J118" s="30" t="n"/>
      <c r="K118" s="30" t="n"/>
      <c r="L118" s="22" t="n"/>
      <c r="M118" s="22" t="n"/>
      <c r="N118" s="22" t="n"/>
      <c r="O118" s="31" t="n"/>
      <c r="P118" s="22" t="n"/>
      <c r="Q118" s="18" t="n"/>
      <c r="R118" s="30" t="n"/>
      <c r="S118" s="22" t="n"/>
      <c r="T118" s="22" t="n"/>
      <c r="U118" s="22" t="n"/>
      <c r="V118" s="18" t="n"/>
      <c r="W118" s="18" t="n"/>
      <c r="X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  <c r="I119" s="30" t="n"/>
      <c r="J119" s="30" t="n"/>
      <c r="K119" s="30" t="n"/>
      <c r="L119" s="22" t="n"/>
      <c r="M119" s="22" t="n"/>
      <c r="N119" s="22" t="n"/>
      <c r="O119" s="31" t="n"/>
      <c r="P119" s="22" t="n"/>
      <c r="Q119" s="18" t="n"/>
      <c r="R119" s="30" t="n"/>
      <c r="S119" s="22" t="n"/>
      <c r="T119" s="22" t="n"/>
      <c r="U119" s="22" t="n"/>
      <c r="V119" s="18" t="n"/>
      <c r="W119" s="18" t="n"/>
      <c r="X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30" t="n"/>
      <c r="J120" s="30" t="n"/>
      <c r="K120" s="30" t="n"/>
      <c r="L120" s="22" t="n"/>
      <c r="M120" s="22" t="n"/>
      <c r="N120" s="22" t="n"/>
      <c r="O120" s="31" t="n"/>
      <c r="P120" s="22" t="n"/>
      <c r="Q120" s="18" t="n"/>
      <c r="R120" s="30" t="n"/>
      <c r="S120" s="22" t="n"/>
      <c r="T120" s="22" t="n"/>
      <c r="U120" s="22" t="n"/>
      <c r="V120" s="18" t="n"/>
      <c r="W120" s="18" t="n"/>
      <c r="X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  <c r="I121" s="30" t="n"/>
      <c r="J121" s="30" t="n"/>
      <c r="K121" s="30" t="n"/>
      <c r="L121" s="22" t="n"/>
      <c r="M121" s="22" t="n"/>
      <c r="N121" s="22" t="n"/>
      <c r="O121" s="31" t="n"/>
      <c r="P121" s="22" t="n"/>
      <c r="Q121" s="18" t="n"/>
      <c r="R121" s="30" t="n"/>
      <c r="S121" s="22" t="n"/>
      <c r="T121" s="22" t="n"/>
      <c r="U121" s="22" t="n"/>
      <c r="V121" s="18" t="n"/>
      <c r="W121" s="18" t="n"/>
      <c r="X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30" t="n"/>
      <c r="J122" s="30" t="n"/>
      <c r="K122" s="30" t="n"/>
      <c r="L122" s="22" t="n"/>
      <c r="M122" s="22" t="n"/>
      <c r="N122" s="22" t="n"/>
      <c r="O122" s="31" t="n"/>
      <c r="P122" s="22" t="n"/>
      <c r="Q122" s="18" t="n"/>
      <c r="R122" s="30" t="n"/>
      <c r="S122" s="22" t="n"/>
      <c r="T122" s="22" t="n"/>
      <c r="U122" s="22" t="n"/>
      <c r="V122" s="18" t="n"/>
      <c r="W122" s="18" t="n"/>
      <c r="X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  <c r="I123" s="30" t="n"/>
      <c r="J123" s="30" t="n"/>
      <c r="K123" s="30" t="n"/>
      <c r="L123" s="22" t="n"/>
      <c r="M123" s="22" t="n"/>
      <c r="N123" s="22" t="n"/>
      <c r="O123" s="31" t="n"/>
      <c r="P123" s="22" t="n"/>
      <c r="Q123" s="18" t="n"/>
      <c r="R123" s="30" t="n"/>
      <c r="S123" s="22" t="n"/>
      <c r="T123" s="22" t="n"/>
      <c r="U123" s="22" t="n"/>
      <c r="V123" s="18" t="n"/>
      <c r="W123" s="18" t="n"/>
      <c r="X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30" t="n"/>
      <c r="J124" s="30" t="n"/>
      <c r="K124" s="30" t="n"/>
      <c r="L124" s="22" t="n"/>
      <c r="M124" s="22" t="n"/>
      <c r="N124" s="22" t="n"/>
      <c r="O124" s="31" t="n"/>
      <c r="P124" s="22" t="n"/>
      <c r="Q124" s="18" t="n"/>
      <c r="R124" s="30" t="n"/>
      <c r="S124" s="22" t="n"/>
      <c r="T124" s="22" t="n"/>
      <c r="U124" s="22" t="n"/>
      <c r="V124" s="18" t="n"/>
      <c r="W124" s="18" t="n"/>
      <c r="X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  <c r="I125" s="30" t="n"/>
      <c r="J125" s="30" t="n"/>
      <c r="K125" s="30" t="n"/>
      <c r="L125" s="22" t="n"/>
      <c r="M125" s="22" t="n"/>
      <c r="N125" s="22" t="n"/>
      <c r="O125" s="31" t="n"/>
      <c r="P125" s="22" t="n"/>
      <c r="Q125" s="18" t="n"/>
      <c r="R125" s="30" t="n"/>
      <c r="S125" s="22" t="n"/>
      <c r="T125" s="22" t="n"/>
      <c r="U125" s="22" t="n"/>
      <c r="V125" s="18" t="n"/>
      <c r="W125" s="18" t="n"/>
      <c r="X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30" t="n"/>
      <c r="J126" s="30" t="n"/>
      <c r="K126" s="30" t="n"/>
      <c r="L126" s="22" t="n"/>
      <c r="M126" s="22" t="n"/>
      <c r="N126" s="22" t="n"/>
      <c r="O126" s="31" t="n"/>
      <c r="P126" s="22" t="n"/>
      <c r="Q126" s="18" t="n"/>
      <c r="R126" s="30" t="n"/>
      <c r="S126" s="22" t="n"/>
      <c r="T126" s="22" t="n"/>
      <c r="U126" s="22" t="n"/>
      <c r="V126" s="18" t="n"/>
      <c r="W126" s="18" t="n"/>
      <c r="X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  <c r="I127" s="30" t="n"/>
      <c r="J127" s="30" t="n"/>
      <c r="K127" s="30" t="n"/>
      <c r="L127" s="22" t="n"/>
      <c r="M127" s="22" t="n"/>
      <c r="N127" s="22" t="n"/>
      <c r="O127" s="31" t="n"/>
      <c r="P127" s="22" t="n"/>
      <c r="Q127" s="18" t="n"/>
      <c r="R127" s="30" t="n"/>
      <c r="S127" s="22" t="n"/>
      <c r="T127" s="22" t="n"/>
      <c r="U127" s="22" t="n"/>
      <c r="V127" s="18" t="n"/>
      <c r="W127" s="18" t="n"/>
      <c r="X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30" t="n"/>
      <c r="J128" s="30" t="n"/>
      <c r="K128" s="30" t="n"/>
      <c r="L128" s="22" t="n"/>
      <c r="M128" s="22" t="n"/>
      <c r="N128" s="22" t="n"/>
      <c r="O128" s="31" t="n"/>
      <c r="P128" s="22" t="n"/>
      <c r="Q128" s="18" t="n"/>
      <c r="R128" s="30" t="n"/>
      <c r="S128" s="22" t="n"/>
      <c r="T128" s="22" t="n"/>
      <c r="U128" s="22" t="n"/>
      <c r="V128" s="18" t="n"/>
      <c r="W128" s="18" t="n"/>
      <c r="X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  <c r="I129" s="30" t="n"/>
      <c r="J129" s="30" t="n"/>
      <c r="K129" s="30" t="n"/>
      <c r="L129" s="22" t="n"/>
      <c r="M129" s="22" t="n"/>
      <c r="N129" s="22" t="n"/>
      <c r="O129" s="31" t="n"/>
      <c r="P129" s="22" t="n"/>
      <c r="Q129" s="18" t="n"/>
      <c r="R129" s="30" t="n"/>
      <c r="S129" s="22" t="n"/>
      <c r="T129" s="22" t="n"/>
      <c r="U129" s="22" t="n"/>
      <c r="V129" s="18" t="n"/>
      <c r="W129" s="18" t="n"/>
      <c r="X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30" t="n"/>
      <c r="J130" s="30" t="n"/>
      <c r="K130" s="30" t="n"/>
      <c r="L130" s="22" t="n"/>
      <c r="M130" s="22" t="n"/>
      <c r="N130" s="22" t="n"/>
      <c r="O130" s="31" t="n"/>
      <c r="P130" s="22" t="n"/>
      <c r="Q130" s="18" t="n"/>
      <c r="R130" s="30" t="n"/>
      <c r="S130" s="22" t="n"/>
      <c r="T130" s="22" t="n"/>
      <c r="U130" s="22" t="n"/>
      <c r="V130" s="18" t="n"/>
      <c r="W130" s="18" t="n"/>
      <c r="X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  <c r="I131" s="30" t="n"/>
      <c r="J131" s="30" t="n"/>
      <c r="K131" s="30" t="n"/>
      <c r="L131" s="22" t="n"/>
      <c r="M131" s="22" t="n"/>
      <c r="N131" s="22" t="n"/>
      <c r="O131" s="31" t="n"/>
      <c r="P131" s="22" t="n"/>
      <c r="Q131" s="18" t="n"/>
      <c r="R131" s="30" t="n"/>
      <c r="S131" s="22" t="n"/>
      <c r="T131" s="22" t="n"/>
      <c r="U131" s="22" t="n"/>
      <c r="V131" s="18" t="n"/>
      <c r="W131" s="18" t="n"/>
      <c r="X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30" t="n"/>
      <c r="J132" s="30" t="n"/>
      <c r="K132" s="30" t="n"/>
      <c r="L132" s="22" t="n"/>
      <c r="M132" s="22" t="n"/>
      <c r="N132" s="22" t="n"/>
      <c r="O132" s="31" t="n"/>
      <c r="P132" s="22" t="n"/>
      <c r="Q132" s="18" t="n"/>
      <c r="R132" s="30" t="n"/>
      <c r="S132" s="22" t="n"/>
      <c r="T132" s="22" t="n"/>
      <c r="U132" s="22" t="n"/>
      <c r="V132" s="18" t="n"/>
      <c r="W132" s="18" t="n"/>
      <c r="X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  <c r="I133" s="30" t="n"/>
      <c r="J133" s="30" t="n"/>
      <c r="K133" s="30" t="n"/>
      <c r="L133" s="22" t="n"/>
      <c r="M133" s="22" t="n"/>
      <c r="N133" s="22" t="n"/>
      <c r="O133" s="31" t="n"/>
      <c r="P133" s="22" t="n"/>
      <c r="Q133" s="18" t="n"/>
      <c r="R133" s="30" t="n"/>
      <c r="S133" s="22" t="n"/>
      <c r="T133" s="22" t="n"/>
      <c r="U133" s="22" t="n"/>
      <c r="V133" s="18" t="n"/>
      <c r="W133" s="18" t="n"/>
      <c r="X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30" t="n"/>
      <c r="J134" s="30" t="n"/>
      <c r="K134" s="30" t="n"/>
      <c r="L134" s="22" t="n"/>
      <c r="M134" s="22" t="n"/>
      <c r="N134" s="22" t="n"/>
      <c r="O134" s="31" t="n"/>
      <c r="P134" s="22" t="n"/>
      <c r="Q134" s="18" t="n"/>
      <c r="R134" s="30" t="n"/>
      <c r="S134" s="22" t="n"/>
      <c r="T134" s="22" t="n"/>
      <c r="U134" s="22" t="n"/>
      <c r="V134" s="18" t="n"/>
      <c r="W134" s="18" t="n"/>
      <c r="X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  <c r="I135" s="30" t="n"/>
      <c r="J135" s="30" t="n"/>
      <c r="K135" s="30" t="n"/>
      <c r="L135" s="22" t="n"/>
      <c r="M135" s="22" t="n"/>
      <c r="N135" s="22" t="n"/>
      <c r="O135" s="31" t="n"/>
      <c r="P135" s="22" t="n"/>
      <c r="Q135" s="18" t="n"/>
      <c r="R135" s="30" t="n"/>
      <c r="S135" s="22" t="n"/>
      <c r="T135" s="22" t="n"/>
      <c r="U135" s="22" t="n"/>
      <c r="V135" s="18" t="n"/>
      <c r="W135" s="18" t="n"/>
      <c r="X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30" t="n"/>
      <c r="J136" s="30" t="n"/>
      <c r="K136" s="30" t="n"/>
      <c r="L136" s="22" t="n"/>
      <c r="M136" s="22" t="n"/>
      <c r="N136" s="22" t="n"/>
      <c r="O136" s="31" t="n"/>
      <c r="P136" s="22" t="n"/>
      <c r="Q136" s="18" t="n"/>
      <c r="R136" s="30" t="n"/>
      <c r="S136" s="22" t="n"/>
      <c r="T136" s="22" t="n"/>
      <c r="U136" s="22" t="n"/>
      <c r="V136" s="18" t="n"/>
      <c r="W136" s="18" t="n"/>
      <c r="X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  <c r="I137" s="30" t="n"/>
      <c r="J137" s="30" t="n"/>
      <c r="K137" s="30" t="n"/>
      <c r="L137" s="22" t="n"/>
      <c r="M137" s="22" t="n"/>
      <c r="N137" s="22" t="n"/>
      <c r="O137" s="31" t="n"/>
      <c r="P137" s="22" t="n"/>
      <c r="Q137" s="18" t="n"/>
      <c r="R137" s="30" t="n"/>
      <c r="S137" s="22" t="n"/>
      <c r="T137" s="22" t="n"/>
      <c r="U137" s="22" t="n"/>
      <c r="V137" s="18" t="n"/>
      <c r="W137" s="18" t="n"/>
      <c r="X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30" t="n"/>
      <c r="J138" s="30" t="n"/>
      <c r="K138" s="30" t="n"/>
      <c r="L138" s="22" t="n"/>
      <c r="M138" s="22" t="n"/>
      <c r="N138" s="22" t="n"/>
      <c r="O138" s="31" t="n"/>
      <c r="P138" s="22" t="n"/>
      <c r="Q138" s="18" t="n"/>
      <c r="R138" s="30" t="n"/>
      <c r="S138" s="22" t="n"/>
      <c r="T138" s="22" t="n"/>
      <c r="U138" s="22" t="n"/>
      <c r="V138" s="18" t="n"/>
      <c r="W138" s="18" t="n"/>
      <c r="X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  <c r="I139" s="30" t="n"/>
      <c r="J139" s="30" t="n"/>
      <c r="K139" s="30" t="n"/>
      <c r="L139" s="22" t="n"/>
      <c r="M139" s="22" t="n"/>
      <c r="N139" s="22" t="n"/>
      <c r="O139" s="31" t="n"/>
      <c r="P139" s="22" t="n"/>
      <c r="Q139" s="18" t="n"/>
      <c r="R139" s="30" t="n"/>
      <c r="S139" s="22" t="n"/>
      <c r="T139" s="22" t="n"/>
      <c r="U139" s="22" t="n"/>
      <c r="V139" s="18" t="n"/>
      <c r="W139" s="18" t="n"/>
      <c r="X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30" t="n"/>
      <c r="J140" s="30" t="n"/>
      <c r="K140" s="30" t="n"/>
      <c r="L140" s="22" t="n"/>
      <c r="M140" s="22" t="n"/>
      <c r="N140" s="22" t="n"/>
      <c r="O140" s="31" t="n"/>
      <c r="P140" s="22" t="n"/>
      <c r="Q140" s="18" t="n"/>
      <c r="R140" s="30" t="n"/>
      <c r="S140" s="22" t="n"/>
      <c r="T140" s="22" t="n"/>
      <c r="U140" s="22" t="n"/>
      <c r="V140" s="18" t="n"/>
      <c r="W140" s="18" t="n"/>
      <c r="X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  <c r="I141" s="30" t="n"/>
      <c r="J141" s="30" t="n"/>
      <c r="K141" s="30" t="n"/>
      <c r="L141" s="22" t="n"/>
      <c r="M141" s="22" t="n"/>
      <c r="N141" s="22" t="n"/>
      <c r="O141" s="31" t="n"/>
      <c r="P141" s="22" t="n"/>
      <c r="Q141" s="18" t="n"/>
      <c r="R141" s="30" t="n"/>
      <c r="S141" s="22" t="n"/>
      <c r="T141" s="22" t="n"/>
      <c r="U141" s="22" t="n"/>
      <c r="V141" s="18" t="n"/>
      <c r="W141" s="18" t="n"/>
      <c r="X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30" t="n"/>
      <c r="J142" s="30" t="n"/>
      <c r="K142" s="30" t="n"/>
      <c r="L142" s="22" t="n"/>
      <c r="M142" s="22" t="n"/>
      <c r="N142" s="22" t="n"/>
      <c r="O142" s="31" t="n"/>
      <c r="P142" s="22" t="n"/>
      <c r="Q142" s="18" t="n"/>
      <c r="R142" s="30" t="n"/>
      <c r="S142" s="22" t="n"/>
      <c r="T142" s="22" t="n"/>
      <c r="U142" s="22" t="n"/>
      <c r="V142" s="18" t="n"/>
      <c r="W142" s="18" t="n"/>
      <c r="X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  <c r="I143" s="30" t="n"/>
      <c r="J143" s="30" t="n"/>
      <c r="K143" s="30" t="n"/>
      <c r="L143" s="22" t="n"/>
      <c r="M143" s="22" t="n"/>
      <c r="N143" s="22" t="n"/>
      <c r="O143" s="31" t="n"/>
      <c r="P143" s="22" t="n"/>
      <c r="Q143" s="18" t="n"/>
      <c r="R143" s="30" t="n"/>
      <c r="S143" s="22" t="n"/>
      <c r="T143" s="22" t="n"/>
      <c r="U143" s="22" t="n"/>
      <c r="V143" s="18" t="n"/>
      <c r="W143" s="18" t="n"/>
      <c r="X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30" t="n"/>
      <c r="J144" s="30" t="n"/>
      <c r="K144" s="30" t="n"/>
      <c r="L144" s="22" t="n"/>
      <c r="M144" s="22" t="n"/>
      <c r="N144" s="22" t="n"/>
      <c r="O144" s="31" t="n"/>
      <c r="P144" s="22" t="n"/>
      <c r="Q144" s="18" t="n"/>
      <c r="R144" s="30" t="n"/>
      <c r="S144" s="22" t="n"/>
      <c r="T144" s="22" t="n"/>
      <c r="U144" s="22" t="n"/>
      <c r="V144" s="18" t="n"/>
      <c r="W144" s="18" t="n"/>
      <c r="X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  <c r="I145" s="30" t="n"/>
      <c r="J145" s="30" t="n"/>
      <c r="K145" s="30" t="n"/>
      <c r="L145" s="22" t="n"/>
      <c r="M145" s="22" t="n"/>
      <c r="N145" s="22" t="n"/>
      <c r="O145" s="31" t="n"/>
      <c r="P145" s="22" t="n"/>
      <c r="Q145" s="18" t="n"/>
      <c r="R145" s="30" t="n"/>
      <c r="S145" s="22" t="n"/>
      <c r="T145" s="22" t="n"/>
      <c r="U145" s="22" t="n"/>
      <c r="V145" s="18" t="n"/>
      <c r="W145" s="18" t="n"/>
      <c r="X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30" t="n"/>
      <c r="J146" s="30" t="n"/>
      <c r="K146" s="30" t="n"/>
      <c r="L146" s="22" t="n"/>
      <c r="M146" s="22" t="n"/>
      <c r="N146" s="22" t="n"/>
      <c r="O146" s="31" t="n"/>
      <c r="P146" s="22" t="n"/>
      <c r="Q146" s="18" t="n"/>
      <c r="R146" s="30" t="n"/>
      <c r="S146" s="22" t="n"/>
      <c r="T146" s="22" t="n"/>
      <c r="U146" s="22" t="n"/>
      <c r="V146" s="18" t="n"/>
      <c r="W146" s="18" t="n"/>
      <c r="X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  <c r="I147" s="30" t="n"/>
      <c r="J147" s="30" t="n"/>
      <c r="K147" s="30" t="n"/>
      <c r="L147" s="22" t="n"/>
      <c r="M147" s="22" t="n"/>
      <c r="N147" s="22" t="n"/>
      <c r="O147" s="31" t="n"/>
      <c r="P147" s="22" t="n"/>
      <c r="Q147" s="18" t="n"/>
      <c r="R147" s="30" t="n"/>
      <c r="S147" s="22" t="n"/>
      <c r="T147" s="22" t="n"/>
      <c r="U147" s="22" t="n"/>
      <c r="V147" s="18" t="n"/>
      <c r="W147" s="18" t="n"/>
      <c r="X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30" t="n"/>
      <c r="J148" s="30" t="n"/>
      <c r="K148" s="30" t="n"/>
      <c r="L148" s="22" t="n"/>
      <c r="M148" s="22" t="n"/>
      <c r="N148" s="22" t="n"/>
      <c r="O148" s="31" t="n"/>
      <c r="P148" s="22" t="n"/>
      <c r="Q148" s="18" t="n"/>
      <c r="R148" s="30" t="n"/>
      <c r="S148" s="22" t="n"/>
      <c r="T148" s="22" t="n"/>
      <c r="U148" s="22" t="n"/>
      <c r="V148" s="18" t="n"/>
      <c r="W148" s="18" t="n"/>
      <c r="X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  <c r="I149" s="30" t="n"/>
      <c r="J149" s="30" t="n"/>
      <c r="K149" s="30" t="n"/>
      <c r="L149" s="22" t="n"/>
      <c r="M149" s="22" t="n"/>
      <c r="N149" s="22" t="n"/>
      <c r="O149" s="31" t="n"/>
      <c r="P149" s="22" t="n"/>
      <c r="Q149" s="18" t="n"/>
      <c r="R149" s="30" t="n"/>
      <c r="S149" s="22" t="n"/>
      <c r="T149" s="22" t="n"/>
      <c r="U149" s="22" t="n"/>
      <c r="V149" s="18" t="n"/>
      <c r="W149" s="18" t="n"/>
      <c r="X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30" t="n"/>
      <c r="J150" s="30" t="n"/>
      <c r="K150" s="30" t="n"/>
      <c r="L150" s="22" t="n"/>
      <c r="M150" s="22" t="n"/>
      <c r="N150" s="22" t="n"/>
      <c r="O150" s="31" t="n"/>
      <c r="P150" s="22" t="n"/>
      <c r="Q150" s="18" t="n"/>
      <c r="R150" s="30" t="n"/>
      <c r="S150" s="22" t="n"/>
      <c r="T150" s="22" t="n"/>
      <c r="U150" s="22" t="n"/>
      <c r="V150" s="18" t="n"/>
      <c r="W150" s="18" t="n"/>
      <c r="X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  <c r="I151" s="30" t="n"/>
      <c r="J151" s="30" t="n"/>
      <c r="K151" s="30" t="n"/>
      <c r="L151" s="22" t="n"/>
      <c r="M151" s="22" t="n"/>
      <c r="N151" s="22" t="n"/>
      <c r="O151" s="31" t="n"/>
      <c r="P151" s="22" t="n"/>
      <c r="Q151" s="18" t="n"/>
      <c r="R151" s="30" t="n"/>
      <c r="S151" s="22" t="n"/>
      <c r="T151" s="22" t="n"/>
      <c r="U151" s="22" t="n"/>
      <c r="V151" s="18" t="n"/>
      <c r="W151" s="18" t="n"/>
      <c r="X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30" t="n"/>
      <c r="J152" s="30" t="n"/>
      <c r="K152" s="30" t="n"/>
      <c r="L152" s="22" t="n"/>
      <c r="M152" s="22" t="n"/>
      <c r="N152" s="22" t="n"/>
      <c r="O152" s="31" t="n"/>
      <c r="P152" s="22" t="n"/>
      <c r="Q152" s="18" t="n"/>
      <c r="R152" s="30" t="n"/>
      <c r="S152" s="22" t="n"/>
      <c r="T152" s="22" t="n"/>
      <c r="U152" s="22" t="n"/>
      <c r="V152" s="18" t="n"/>
      <c r="W152" s="18" t="n"/>
      <c r="X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  <c r="I153" s="30" t="n"/>
      <c r="J153" s="30" t="n"/>
      <c r="K153" s="30" t="n"/>
      <c r="L153" s="22" t="n"/>
      <c r="M153" s="22" t="n"/>
      <c r="N153" s="22" t="n"/>
      <c r="O153" s="31" t="n"/>
      <c r="P153" s="22" t="n"/>
      <c r="Q153" s="18" t="n"/>
      <c r="R153" s="30" t="n"/>
      <c r="S153" s="22" t="n"/>
      <c r="T153" s="22" t="n"/>
      <c r="U153" s="22" t="n"/>
      <c r="V153" s="18" t="n"/>
      <c r="W153" s="18" t="n"/>
      <c r="X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30" t="n"/>
      <c r="J154" s="30" t="n"/>
      <c r="K154" s="30" t="n"/>
      <c r="L154" s="22" t="n"/>
      <c r="M154" s="22" t="n"/>
      <c r="N154" s="22" t="n"/>
      <c r="O154" s="31" t="n"/>
      <c r="P154" s="22" t="n"/>
      <c r="Q154" s="18" t="n"/>
      <c r="R154" s="30" t="n"/>
      <c r="S154" s="22" t="n"/>
      <c r="T154" s="22" t="n"/>
      <c r="U154" s="22" t="n"/>
      <c r="V154" s="18" t="n"/>
      <c r="W154" s="18" t="n"/>
      <c r="X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  <c r="I155" s="30" t="n"/>
      <c r="J155" s="30" t="n"/>
      <c r="K155" s="30" t="n"/>
      <c r="L155" s="22" t="n"/>
      <c r="M155" s="22" t="n"/>
      <c r="N155" s="22" t="n"/>
      <c r="O155" s="31" t="n"/>
      <c r="P155" s="22" t="n"/>
      <c r="Q155" s="18" t="n"/>
      <c r="R155" s="30" t="n"/>
      <c r="S155" s="22" t="n"/>
      <c r="T155" s="22" t="n"/>
      <c r="U155" s="22" t="n"/>
      <c r="V155" s="18" t="n"/>
      <c r="W155" s="18" t="n"/>
      <c r="X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30" t="n"/>
      <c r="J156" s="30" t="n"/>
      <c r="K156" s="30" t="n"/>
      <c r="L156" s="22" t="n"/>
      <c r="M156" s="22" t="n"/>
      <c r="N156" s="22" t="n"/>
      <c r="O156" s="31" t="n"/>
      <c r="P156" s="22" t="n"/>
      <c r="Q156" s="18" t="n"/>
      <c r="R156" s="30" t="n"/>
      <c r="S156" s="22" t="n"/>
      <c r="T156" s="22" t="n"/>
      <c r="U156" s="22" t="n"/>
      <c r="V156" s="18" t="n"/>
      <c r="W156" s="18" t="n"/>
      <c r="X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  <c r="I157" s="30" t="n"/>
      <c r="J157" s="30" t="n"/>
      <c r="K157" s="30" t="n"/>
      <c r="L157" s="22" t="n"/>
      <c r="M157" s="22" t="n"/>
      <c r="N157" s="22" t="n"/>
      <c r="O157" s="31" t="n"/>
      <c r="P157" s="22" t="n"/>
      <c r="Q157" s="18" t="n"/>
      <c r="R157" s="30" t="n"/>
      <c r="S157" s="22" t="n"/>
      <c r="T157" s="22" t="n"/>
      <c r="U157" s="22" t="n"/>
      <c r="V157" s="18" t="n"/>
      <c r="W157" s="18" t="n"/>
      <c r="X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30" t="n"/>
      <c r="J158" s="30" t="n"/>
      <c r="K158" s="30" t="n"/>
      <c r="L158" s="22" t="n"/>
      <c r="M158" s="22" t="n"/>
      <c r="N158" s="22" t="n"/>
      <c r="O158" s="31" t="n"/>
      <c r="P158" s="22" t="n"/>
      <c r="Q158" s="18" t="n"/>
      <c r="R158" s="30" t="n"/>
      <c r="S158" s="22" t="n"/>
      <c r="T158" s="22" t="n"/>
      <c r="U158" s="22" t="n"/>
      <c r="V158" s="18" t="n"/>
      <c r="W158" s="18" t="n"/>
      <c r="X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  <c r="I159" s="30" t="n"/>
      <c r="J159" s="30" t="n"/>
      <c r="K159" s="30" t="n"/>
      <c r="L159" s="22" t="n"/>
      <c r="M159" s="22" t="n"/>
      <c r="N159" s="22" t="n"/>
      <c r="O159" s="31" t="n"/>
      <c r="P159" s="22" t="n"/>
      <c r="Q159" s="18" t="n"/>
      <c r="R159" s="30" t="n"/>
      <c r="S159" s="22" t="n"/>
      <c r="T159" s="22" t="n"/>
      <c r="U159" s="22" t="n"/>
      <c r="V159" s="18" t="n"/>
      <c r="W159" s="18" t="n"/>
      <c r="X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30" t="n"/>
      <c r="J160" s="30" t="n"/>
      <c r="K160" s="30" t="n"/>
      <c r="L160" s="22" t="n"/>
      <c r="M160" s="22" t="n"/>
      <c r="N160" s="22" t="n"/>
      <c r="O160" s="31" t="n"/>
      <c r="P160" s="22" t="n"/>
      <c r="Q160" s="18" t="n"/>
      <c r="R160" s="30" t="n"/>
      <c r="S160" s="22" t="n"/>
      <c r="T160" s="22" t="n"/>
      <c r="U160" s="22" t="n"/>
      <c r="V160" s="18" t="n"/>
      <c r="W160" s="18" t="n"/>
      <c r="X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  <c r="I161" s="30" t="n"/>
      <c r="J161" s="30" t="n"/>
      <c r="K161" s="30" t="n"/>
      <c r="L161" s="22" t="n"/>
      <c r="M161" s="22" t="n"/>
      <c r="N161" s="22" t="n"/>
      <c r="O161" s="31" t="n"/>
      <c r="P161" s="22" t="n"/>
      <c r="Q161" s="18" t="n"/>
      <c r="R161" s="30" t="n"/>
      <c r="S161" s="22" t="n"/>
      <c r="T161" s="22" t="n"/>
      <c r="U161" s="22" t="n"/>
      <c r="V161" s="18" t="n"/>
      <c r="W161" s="18" t="n"/>
      <c r="X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30" t="n"/>
      <c r="J162" s="30" t="n"/>
      <c r="K162" s="30" t="n"/>
      <c r="L162" s="22" t="n"/>
      <c r="M162" s="22" t="n"/>
      <c r="N162" s="22" t="n"/>
      <c r="O162" s="31" t="n"/>
      <c r="P162" s="22" t="n"/>
      <c r="Q162" s="18" t="n"/>
      <c r="R162" s="30" t="n"/>
      <c r="S162" s="22" t="n"/>
      <c r="T162" s="22" t="n"/>
      <c r="U162" s="22" t="n"/>
      <c r="V162" s="18" t="n"/>
      <c r="W162" s="18" t="n"/>
      <c r="X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  <c r="I163" s="30" t="n"/>
      <c r="J163" s="30" t="n"/>
      <c r="K163" s="30" t="n"/>
      <c r="L163" s="22" t="n"/>
      <c r="M163" s="22" t="n"/>
      <c r="N163" s="22" t="n"/>
      <c r="O163" s="31" t="n"/>
      <c r="P163" s="22" t="n"/>
      <c r="Q163" s="18" t="n"/>
      <c r="R163" s="30" t="n"/>
      <c r="S163" s="22" t="n"/>
      <c r="T163" s="22" t="n"/>
      <c r="U163" s="22" t="n"/>
      <c r="V163" s="18" t="n"/>
      <c r="W163" s="18" t="n"/>
      <c r="X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30" t="n"/>
      <c r="J164" s="30" t="n"/>
      <c r="K164" s="30" t="n"/>
      <c r="L164" s="22" t="n"/>
      <c r="M164" s="22" t="n"/>
      <c r="N164" s="22" t="n"/>
      <c r="O164" s="31" t="n"/>
      <c r="P164" s="22" t="n"/>
      <c r="Q164" s="18" t="n"/>
      <c r="R164" s="30" t="n"/>
      <c r="S164" s="22" t="n"/>
      <c r="T164" s="22" t="n"/>
      <c r="U164" s="22" t="n"/>
      <c r="V164" s="18" t="n"/>
      <c r="W164" s="18" t="n"/>
      <c r="X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  <c r="I165" s="30" t="n"/>
      <c r="J165" s="30" t="n"/>
      <c r="K165" s="30" t="n"/>
      <c r="L165" s="22" t="n"/>
      <c r="M165" s="22" t="n"/>
      <c r="N165" s="22" t="n"/>
      <c r="O165" s="31" t="n"/>
      <c r="P165" s="22" t="n"/>
      <c r="Q165" s="18" t="n"/>
      <c r="R165" s="30" t="n"/>
      <c r="S165" s="22" t="n"/>
      <c r="T165" s="22" t="n"/>
      <c r="U165" s="22" t="n"/>
      <c r="V165" s="18" t="n"/>
      <c r="W165" s="18" t="n"/>
      <c r="X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30" t="n"/>
      <c r="J166" s="30" t="n"/>
      <c r="K166" s="30" t="n"/>
      <c r="L166" s="22" t="n"/>
      <c r="M166" s="22" t="n"/>
      <c r="N166" s="22" t="n"/>
      <c r="O166" s="31" t="n"/>
      <c r="P166" s="22" t="n"/>
      <c r="Q166" s="18" t="n"/>
      <c r="R166" s="30" t="n"/>
      <c r="S166" s="22" t="n"/>
      <c r="T166" s="22" t="n"/>
      <c r="U166" s="22" t="n"/>
      <c r="V166" s="18" t="n"/>
      <c r="W166" s="18" t="n"/>
      <c r="X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  <c r="I167" s="30" t="n"/>
      <c r="J167" s="30" t="n"/>
      <c r="K167" s="30" t="n"/>
      <c r="L167" s="22" t="n"/>
      <c r="M167" s="22" t="n"/>
      <c r="N167" s="22" t="n"/>
      <c r="O167" s="31" t="n"/>
      <c r="P167" s="22" t="n"/>
      <c r="Q167" s="18" t="n"/>
      <c r="R167" s="30" t="n"/>
      <c r="S167" s="22" t="n"/>
      <c r="T167" s="22" t="n"/>
      <c r="U167" s="22" t="n"/>
      <c r="V167" s="18" t="n"/>
      <c r="W167" s="18" t="n"/>
      <c r="X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30" t="n"/>
      <c r="J168" s="30" t="n"/>
      <c r="K168" s="30" t="n"/>
      <c r="L168" s="22" t="n"/>
      <c r="M168" s="22" t="n"/>
      <c r="N168" s="22" t="n"/>
      <c r="O168" s="31" t="n"/>
      <c r="P168" s="22" t="n"/>
      <c r="Q168" s="18" t="n"/>
      <c r="R168" s="30" t="n"/>
      <c r="S168" s="22" t="n"/>
      <c r="T168" s="22" t="n"/>
      <c r="U168" s="22" t="n"/>
      <c r="V168" s="18" t="n"/>
      <c r="W168" s="18" t="n"/>
      <c r="X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  <c r="I169" s="30" t="n"/>
      <c r="J169" s="30" t="n"/>
      <c r="K169" s="30" t="n"/>
      <c r="L169" s="22" t="n"/>
      <c r="M169" s="22" t="n"/>
      <c r="N169" s="22" t="n"/>
      <c r="O169" s="31" t="n"/>
      <c r="P169" s="22" t="n"/>
      <c r="Q169" s="18" t="n"/>
      <c r="R169" s="30" t="n"/>
      <c r="S169" s="22" t="n"/>
      <c r="T169" s="22" t="n"/>
      <c r="U169" s="22" t="n"/>
      <c r="V169" s="18" t="n"/>
      <c r="W169" s="18" t="n"/>
      <c r="X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30" t="n"/>
      <c r="J170" s="30" t="n"/>
      <c r="K170" s="30" t="n"/>
      <c r="L170" s="22" t="n"/>
      <c r="M170" s="22" t="n"/>
      <c r="N170" s="22" t="n"/>
      <c r="O170" s="31" t="n"/>
      <c r="P170" s="22" t="n"/>
      <c r="Q170" s="18" t="n"/>
      <c r="R170" s="30" t="n"/>
      <c r="S170" s="22" t="n"/>
      <c r="T170" s="22" t="n"/>
      <c r="U170" s="22" t="n"/>
      <c r="V170" s="18" t="n"/>
      <c r="W170" s="18" t="n"/>
      <c r="X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  <c r="I171" s="30" t="n"/>
      <c r="J171" s="30" t="n"/>
      <c r="K171" s="30" t="n"/>
      <c r="L171" s="22" t="n"/>
      <c r="M171" s="22" t="n"/>
      <c r="N171" s="22" t="n"/>
      <c r="O171" s="31" t="n"/>
      <c r="P171" s="22" t="n"/>
      <c r="Q171" s="18" t="n"/>
      <c r="R171" s="30" t="n"/>
      <c r="S171" s="22" t="n"/>
      <c r="T171" s="22" t="n"/>
      <c r="U171" s="22" t="n"/>
      <c r="V171" s="18" t="n"/>
      <c r="W171" s="18" t="n"/>
      <c r="X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30" t="n"/>
      <c r="J172" s="30" t="n"/>
      <c r="K172" s="30" t="n"/>
      <c r="L172" s="22" t="n"/>
      <c r="M172" s="22" t="n"/>
      <c r="N172" s="22" t="n"/>
      <c r="O172" s="31" t="n"/>
      <c r="P172" s="22" t="n"/>
      <c r="Q172" s="18" t="n"/>
      <c r="R172" s="30" t="n"/>
      <c r="S172" s="22" t="n"/>
      <c r="T172" s="22" t="n"/>
      <c r="U172" s="22" t="n"/>
      <c r="V172" s="18" t="n"/>
      <c r="W172" s="18" t="n"/>
      <c r="X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  <c r="I173" s="30" t="n"/>
      <c r="J173" s="30" t="n"/>
      <c r="K173" s="30" t="n"/>
      <c r="L173" s="22" t="n"/>
      <c r="M173" s="22" t="n"/>
      <c r="N173" s="22" t="n"/>
      <c r="O173" s="31" t="n"/>
      <c r="P173" s="22" t="n"/>
      <c r="Q173" s="18" t="n"/>
      <c r="R173" s="30" t="n"/>
      <c r="S173" s="22" t="n"/>
      <c r="T173" s="22" t="n"/>
      <c r="U173" s="22" t="n"/>
      <c r="V173" s="18" t="n"/>
      <c r="W173" s="18" t="n"/>
      <c r="X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30" t="n"/>
      <c r="J174" s="30" t="n"/>
      <c r="K174" s="30" t="n"/>
      <c r="L174" s="22" t="n"/>
      <c r="M174" s="22" t="n"/>
      <c r="N174" s="22" t="n"/>
      <c r="O174" s="31" t="n"/>
      <c r="P174" s="22" t="n"/>
      <c r="Q174" s="18" t="n"/>
      <c r="R174" s="30" t="n"/>
      <c r="S174" s="22" t="n"/>
      <c r="T174" s="22" t="n"/>
      <c r="U174" s="22" t="n"/>
      <c r="V174" s="18" t="n"/>
      <c r="W174" s="18" t="n"/>
      <c r="X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  <c r="I175" s="30" t="n"/>
      <c r="J175" s="30" t="n"/>
      <c r="K175" s="30" t="n"/>
      <c r="L175" s="22" t="n"/>
      <c r="M175" s="22" t="n"/>
      <c r="N175" s="22" t="n"/>
      <c r="O175" s="31" t="n"/>
      <c r="P175" s="22" t="n"/>
      <c r="Q175" s="18" t="n"/>
      <c r="R175" s="30" t="n"/>
      <c r="S175" s="22" t="n"/>
      <c r="T175" s="22" t="n"/>
      <c r="U175" s="22" t="n"/>
      <c r="V175" s="18" t="n"/>
      <c r="W175" s="18" t="n"/>
      <c r="X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30" t="n"/>
      <c r="J176" s="30" t="n"/>
      <c r="K176" s="30" t="n"/>
      <c r="L176" s="22" t="n"/>
      <c r="M176" s="22" t="n"/>
      <c r="N176" s="22" t="n"/>
      <c r="O176" s="31" t="n"/>
      <c r="P176" s="22" t="n"/>
      <c r="Q176" s="18" t="n"/>
      <c r="R176" s="30" t="n"/>
      <c r="S176" s="22" t="n"/>
      <c r="T176" s="22" t="n"/>
      <c r="U176" s="22" t="n"/>
      <c r="V176" s="18" t="n"/>
      <c r="W176" s="18" t="n"/>
      <c r="X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  <c r="I177" s="30" t="n"/>
      <c r="J177" s="30" t="n"/>
      <c r="K177" s="30" t="n"/>
      <c r="L177" s="22" t="n"/>
      <c r="M177" s="22" t="n"/>
      <c r="N177" s="22" t="n"/>
      <c r="O177" s="31" t="n"/>
      <c r="P177" s="22" t="n"/>
      <c r="Q177" s="18" t="n"/>
      <c r="R177" s="30" t="n"/>
      <c r="S177" s="22" t="n"/>
      <c r="T177" s="22" t="n"/>
      <c r="U177" s="22" t="n"/>
      <c r="V177" s="18" t="n"/>
      <c r="W177" s="18" t="n"/>
      <c r="X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30" t="n"/>
      <c r="J178" s="30" t="n"/>
      <c r="K178" s="30" t="n"/>
      <c r="L178" s="22" t="n"/>
      <c r="M178" s="22" t="n"/>
      <c r="N178" s="22" t="n"/>
      <c r="O178" s="31" t="n"/>
      <c r="P178" s="22" t="n"/>
      <c r="Q178" s="18" t="n"/>
      <c r="R178" s="30" t="n"/>
      <c r="S178" s="22" t="n"/>
      <c r="T178" s="22" t="n"/>
      <c r="U178" s="22" t="n"/>
      <c r="V178" s="18" t="n"/>
      <c r="W178" s="18" t="n"/>
      <c r="X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  <c r="I179" s="30" t="n"/>
      <c r="J179" s="30" t="n"/>
      <c r="K179" s="30" t="n"/>
      <c r="L179" s="22" t="n"/>
      <c r="M179" s="22" t="n"/>
      <c r="N179" s="22" t="n"/>
      <c r="O179" s="31" t="n"/>
      <c r="P179" s="22" t="n"/>
      <c r="Q179" s="18" t="n"/>
      <c r="R179" s="30" t="n"/>
      <c r="S179" s="22" t="n"/>
      <c r="T179" s="22" t="n"/>
      <c r="U179" s="22" t="n"/>
      <c r="V179" s="18" t="n"/>
      <c r="W179" s="18" t="n"/>
      <c r="X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30" t="n"/>
      <c r="J180" s="30" t="n"/>
      <c r="K180" s="30" t="n"/>
      <c r="L180" s="22" t="n"/>
      <c r="M180" s="22" t="n"/>
      <c r="N180" s="22" t="n"/>
      <c r="O180" s="31" t="n"/>
      <c r="P180" s="22" t="n"/>
      <c r="Q180" s="18" t="n"/>
      <c r="R180" s="30" t="n"/>
      <c r="S180" s="22" t="n"/>
      <c r="T180" s="22" t="n"/>
      <c r="U180" s="22" t="n"/>
      <c r="V180" s="18" t="n"/>
      <c r="W180" s="18" t="n"/>
      <c r="X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  <c r="I181" s="30" t="n"/>
      <c r="J181" s="30" t="n"/>
      <c r="K181" s="30" t="n"/>
      <c r="L181" s="22" t="n"/>
      <c r="M181" s="22" t="n"/>
      <c r="N181" s="22" t="n"/>
      <c r="O181" s="31" t="n"/>
      <c r="P181" s="22" t="n"/>
      <c r="Q181" s="18" t="n"/>
      <c r="R181" s="30" t="n"/>
      <c r="S181" s="22" t="n"/>
      <c r="T181" s="22" t="n"/>
      <c r="U181" s="22" t="n"/>
      <c r="V181" s="18" t="n"/>
      <c r="W181" s="18" t="n"/>
      <c r="X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30" t="n"/>
      <c r="J182" s="30" t="n"/>
      <c r="K182" s="30" t="n"/>
      <c r="L182" s="22" t="n"/>
      <c r="M182" s="22" t="n"/>
      <c r="N182" s="22" t="n"/>
      <c r="O182" s="31" t="n"/>
      <c r="P182" s="22" t="n"/>
      <c r="Q182" s="18" t="n"/>
      <c r="R182" s="30" t="n"/>
      <c r="S182" s="22" t="n"/>
      <c r="T182" s="22" t="n"/>
      <c r="U182" s="22" t="n"/>
      <c r="V182" s="18" t="n"/>
      <c r="W182" s="18" t="n"/>
      <c r="X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  <c r="I183" s="30" t="n"/>
      <c r="J183" s="30" t="n"/>
      <c r="K183" s="30" t="n"/>
      <c r="L183" s="22" t="n"/>
      <c r="M183" s="22" t="n"/>
      <c r="N183" s="22" t="n"/>
      <c r="O183" s="31" t="n"/>
      <c r="P183" s="22" t="n"/>
      <c r="Q183" s="18" t="n"/>
      <c r="R183" s="30" t="n"/>
      <c r="S183" s="22" t="n"/>
      <c r="T183" s="22" t="n"/>
      <c r="U183" s="22" t="n"/>
      <c r="V183" s="18" t="n"/>
      <c r="W183" s="18" t="n"/>
      <c r="X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30" t="n"/>
      <c r="J184" s="30" t="n"/>
      <c r="K184" s="30" t="n"/>
      <c r="L184" s="22" t="n"/>
      <c r="M184" s="22" t="n"/>
      <c r="N184" s="22" t="n"/>
      <c r="O184" s="31" t="n"/>
      <c r="P184" s="22" t="n"/>
      <c r="Q184" s="18" t="n"/>
      <c r="R184" s="30" t="n"/>
      <c r="S184" s="22" t="n"/>
      <c r="T184" s="22" t="n"/>
      <c r="U184" s="22" t="n"/>
      <c r="V184" s="18" t="n"/>
      <c r="W184" s="18" t="n"/>
      <c r="X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  <c r="I185" s="30" t="n"/>
      <c r="J185" s="30" t="n"/>
      <c r="K185" s="30" t="n"/>
      <c r="L185" s="22" t="n"/>
      <c r="M185" s="22" t="n"/>
      <c r="N185" s="22" t="n"/>
      <c r="O185" s="31" t="n"/>
      <c r="P185" s="22" t="n"/>
      <c r="Q185" s="18" t="n"/>
      <c r="R185" s="30" t="n"/>
      <c r="S185" s="22" t="n"/>
      <c r="T185" s="22" t="n"/>
      <c r="U185" s="22" t="n"/>
      <c r="V185" s="18" t="n"/>
      <c r="W185" s="18" t="n"/>
      <c r="X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30" t="n"/>
      <c r="J186" s="30" t="n"/>
      <c r="K186" s="30" t="n"/>
      <c r="L186" s="22" t="n"/>
      <c r="M186" s="22" t="n"/>
      <c r="N186" s="22" t="n"/>
      <c r="O186" s="31" t="n"/>
      <c r="P186" s="22" t="n"/>
      <c r="Q186" s="18" t="n"/>
      <c r="R186" s="30" t="n"/>
      <c r="S186" s="22" t="n"/>
      <c r="T186" s="22" t="n"/>
      <c r="U186" s="22" t="n"/>
      <c r="V186" s="18" t="n"/>
      <c r="W186" s="18" t="n"/>
      <c r="X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  <c r="I187" s="30" t="n"/>
      <c r="J187" s="30" t="n"/>
      <c r="K187" s="30" t="n"/>
      <c r="L187" s="22" t="n"/>
      <c r="M187" s="22" t="n"/>
      <c r="N187" s="22" t="n"/>
      <c r="O187" s="31" t="n"/>
      <c r="P187" s="22" t="n"/>
      <c r="Q187" s="18" t="n"/>
      <c r="R187" s="30" t="n"/>
      <c r="S187" s="22" t="n"/>
      <c r="T187" s="22" t="n"/>
      <c r="U187" s="22" t="n"/>
      <c r="V187" s="18" t="n"/>
      <c r="W187" s="18" t="n"/>
      <c r="X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30" t="n"/>
      <c r="J188" s="30" t="n"/>
      <c r="K188" s="30" t="n"/>
      <c r="L188" s="22" t="n"/>
      <c r="M188" s="22" t="n"/>
      <c r="N188" s="22" t="n"/>
      <c r="O188" s="31" t="n"/>
      <c r="P188" s="22" t="n"/>
      <c r="Q188" s="18" t="n"/>
      <c r="R188" s="30" t="n"/>
      <c r="S188" s="22" t="n"/>
      <c r="T188" s="22" t="n"/>
      <c r="U188" s="22" t="n"/>
      <c r="V188" s="18" t="n"/>
      <c r="W188" s="18" t="n"/>
      <c r="X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  <c r="I189" s="30" t="n"/>
      <c r="J189" s="30" t="n"/>
      <c r="K189" s="30" t="n"/>
      <c r="L189" s="22" t="n"/>
      <c r="M189" s="22" t="n"/>
      <c r="N189" s="22" t="n"/>
      <c r="O189" s="31" t="n"/>
      <c r="P189" s="22" t="n"/>
      <c r="Q189" s="18" t="n"/>
      <c r="R189" s="30" t="n"/>
      <c r="S189" s="22" t="n"/>
      <c r="T189" s="22" t="n"/>
      <c r="U189" s="22" t="n"/>
      <c r="V189" s="18" t="n"/>
      <c r="W189" s="18" t="n"/>
      <c r="X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30" t="n"/>
      <c r="J190" s="30" t="n"/>
      <c r="K190" s="30" t="n"/>
      <c r="L190" s="22" t="n"/>
      <c r="M190" s="22" t="n"/>
      <c r="N190" s="22" t="n"/>
      <c r="O190" s="31" t="n"/>
      <c r="P190" s="22" t="n"/>
      <c r="Q190" s="18" t="n"/>
      <c r="R190" s="30" t="n"/>
      <c r="S190" s="22" t="n"/>
      <c r="T190" s="22" t="n"/>
      <c r="U190" s="22" t="n"/>
      <c r="V190" s="18" t="n"/>
      <c r="W190" s="18" t="n"/>
      <c r="X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  <c r="I191" s="30" t="n"/>
      <c r="J191" s="30" t="n"/>
      <c r="K191" s="30" t="n"/>
      <c r="L191" s="22" t="n"/>
      <c r="M191" s="22" t="n"/>
      <c r="N191" s="22" t="n"/>
      <c r="O191" s="31" t="n"/>
      <c r="P191" s="22" t="n"/>
      <c r="Q191" s="18" t="n"/>
      <c r="R191" s="30" t="n"/>
      <c r="S191" s="22" t="n"/>
      <c r="T191" s="22" t="n"/>
      <c r="U191" s="22" t="n"/>
      <c r="V191" s="18" t="n"/>
      <c r="W191" s="18" t="n"/>
      <c r="X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30" t="n"/>
      <c r="J192" s="30" t="n"/>
      <c r="K192" s="30" t="n"/>
      <c r="L192" s="22" t="n"/>
      <c r="M192" s="22" t="n"/>
      <c r="N192" s="22" t="n"/>
      <c r="O192" s="31" t="n"/>
      <c r="P192" s="22" t="n"/>
      <c r="Q192" s="18" t="n"/>
      <c r="R192" s="30" t="n"/>
      <c r="S192" s="22" t="n"/>
      <c r="T192" s="22" t="n"/>
      <c r="U192" s="22" t="n"/>
      <c r="V192" s="18" t="n"/>
      <c r="W192" s="18" t="n"/>
      <c r="X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  <c r="I193" s="30" t="n"/>
      <c r="J193" s="30" t="n"/>
      <c r="K193" s="30" t="n"/>
      <c r="L193" s="22" t="n"/>
      <c r="M193" s="22" t="n"/>
      <c r="N193" s="22" t="n"/>
      <c r="O193" s="31" t="n"/>
      <c r="P193" s="22" t="n"/>
      <c r="Q193" s="18" t="n"/>
      <c r="R193" s="30" t="n"/>
      <c r="S193" s="22" t="n"/>
      <c r="T193" s="22" t="n"/>
      <c r="U193" s="22" t="n"/>
      <c r="V193" s="18" t="n"/>
      <c r="W193" s="18" t="n"/>
      <c r="X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30" t="n"/>
      <c r="J194" s="30" t="n"/>
      <c r="K194" s="30" t="n"/>
      <c r="L194" s="22" t="n"/>
      <c r="M194" s="22" t="n"/>
      <c r="N194" s="22" t="n"/>
      <c r="O194" s="31" t="n"/>
      <c r="P194" s="22" t="n"/>
      <c r="Q194" s="18" t="n"/>
      <c r="R194" s="30" t="n"/>
      <c r="S194" s="22" t="n"/>
      <c r="T194" s="22" t="n"/>
      <c r="U194" s="22" t="n"/>
      <c r="V194" s="18" t="n"/>
      <c r="W194" s="18" t="n"/>
      <c r="X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  <c r="I195" s="30" t="n"/>
      <c r="J195" s="30" t="n"/>
      <c r="K195" s="30" t="n"/>
      <c r="L195" s="22" t="n"/>
      <c r="M195" s="22" t="n"/>
      <c r="N195" s="22" t="n"/>
      <c r="O195" s="31" t="n"/>
      <c r="P195" s="22" t="n"/>
      <c r="Q195" s="18" t="n"/>
      <c r="R195" s="30" t="n"/>
      <c r="S195" s="22" t="n"/>
      <c r="T195" s="22" t="n"/>
      <c r="U195" s="22" t="n"/>
      <c r="V195" s="18" t="n"/>
      <c r="W195" s="18" t="n"/>
      <c r="X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30" t="n"/>
      <c r="J196" s="30" t="n"/>
      <c r="K196" s="30" t="n"/>
      <c r="L196" s="22" t="n"/>
      <c r="M196" s="22" t="n"/>
      <c r="N196" s="22" t="n"/>
      <c r="O196" s="31" t="n"/>
      <c r="P196" s="22" t="n"/>
      <c r="Q196" s="18" t="n"/>
      <c r="R196" s="30" t="n"/>
      <c r="S196" s="22" t="n"/>
      <c r="T196" s="22" t="n"/>
      <c r="U196" s="22" t="n"/>
      <c r="V196" s="18" t="n"/>
      <c r="W196" s="18" t="n"/>
      <c r="X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  <c r="I197" s="30" t="n"/>
      <c r="J197" s="30" t="n"/>
      <c r="K197" s="30" t="n"/>
      <c r="L197" s="22" t="n"/>
      <c r="M197" s="22" t="n"/>
      <c r="N197" s="22" t="n"/>
      <c r="O197" s="31" t="n"/>
      <c r="P197" s="22" t="n"/>
      <c r="Q197" s="18" t="n"/>
      <c r="R197" s="30" t="n"/>
      <c r="S197" s="22" t="n"/>
      <c r="T197" s="22" t="n"/>
      <c r="U197" s="22" t="n"/>
      <c r="V197" s="18" t="n"/>
      <c r="W197" s="18" t="n"/>
      <c r="X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30" t="n"/>
      <c r="J198" s="30" t="n"/>
      <c r="K198" s="30" t="n"/>
      <c r="L198" s="22" t="n"/>
      <c r="M198" s="22" t="n"/>
      <c r="N198" s="22" t="n"/>
      <c r="O198" s="31" t="n"/>
      <c r="P198" s="22" t="n"/>
      <c r="Q198" s="18" t="n"/>
      <c r="R198" s="30" t="n"/>
      <c r="S198" s="22" t="n"/>
      <c r="T198" s="22" t="n"/>
      <c r="U198" s="22" t="n"/>
      <c r="V198" s="18" t="n"/>
      <c r="W198" s="18" t="n"/>
      <c r="X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  <c r="I199" s="30" t="n"/>
      <c r="J199" s="30" t="n"/>
      <c r="K199" s="30" t="n"/>
      <c r="L199" s="22" t="n"/>
      <c r="M199" s="22" t="n"/>
      <c r="N199" s="22" t="n"/>
      <c r="O199" s="31" t="n"/>
      <c r="P199" s="22" t="n"/>
      <c r="Q199" s="18" t="n"/>
      <c r="R199" s="30" t="n"/>
      <c r="S199" s="22" t="n"/>
      <c r="T199" s="22" t="n"/>
      <c r="U199" s="22" t="n"/>
      <c r="V199" s="18" t="n"/>
      <c r="W199" s="18" t="n"/>
      <c r="X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30" t="n"/>
      <c r="J200" s="30" t="n"/>
      <c r="K200" s="30" t="n"/>
      <c r="L200" s="22" t="n"/>
      <c r="M200" s="22" t="n"/>
      <c r="N200" s="22" t="n"/>
      <c r="O200" s="31" t="n"/>
      <c r="P200" s="22" t="n"/>
      <c r="Q200" s="18" t="n"/>
      <c r="R200" s="30" t="n"/>
      <c r="S200" s="22" t="n"/>
      <c r="T200" s="22" t="n"/>
      <c r="U200" s="22" t="n"/>
      <c r="V200" s="18" t="n"/>
      <c r="W200" s="18" t="n"/>
      <c r="X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  <c r="I201" s="30" t="n"/>
      <c r="J201" s="30" t="n"/>
      <c r="K201" s="30" t="n"/>
      <c r="L201" s="22" t="n"/>
      <c r="M201" s="22" t="n"/>
      <c r="N201" s="22" t="n"/>
      <c r="O201" s="31" t="n"/>
      <c r="P201" s="22" t="n"/>
      <c r="Q201" s="18" t="n"/>
      <c r="R201" s="30" t="n"/>
      <c r="S201" s="22" t="n"/>
      <c r="T201" s="22" t="n"/>
      <c r="U201" s="22" t="n"/>
      <c r="V201" s="18" t="n"/>
      <c r="W201" s="18" t="n"/>
      <c r="X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30" t="n"/>
      <c r="J202" s="30" t="n"/>
      <c r="K202" s="30" t="n"/>
      <c r="L202" s="22" t="n"/>
      <c r="M202" s="22" t="n"/>
      <c r="N202" s="22" t="n"/>
      <c r="O202" s="31" t="n"/>
      <c r="P202" s="22" t="n"/>
      <c r="Q202" s="18" t="n"/>
      <c r="R202" s="30" t="n"/>
      <c r="S202" s="22" t="n"/>
      <c r="T202" s="22" t="n"/>
      <c r="U202" s="22" t="n"/>
      <c r="V202" s="18" t="n"/>
      <c r="W202" s="18" t="n"/>
      <c r="X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  <c r="I203" s="30" t="n"/>
      <c r="J203" s="30" t="n"/>
      <c r="K203" s="30" t="n"/>
      <c r="L203" s="22" t="n"/>
      <c r="M203" s="22" t="n"/>
      <c r="N203" s="22" t="n"/>
      <c r="O203" s="31" t="n"/>
      <c r="P203" s="22" t="n"/>
      <c r="Q203" s="18" t="n"/>
      <c r="R203" s="30" t="n"/>
      <c r="S203" s="22" t="n"/>
      <c r="T203" s="22" t="n"/>
      <c r="U203" s="22" t="n"/>
      <c r="V203" s="18" t="n"/>
      <c r="W203" s="18" t="n"/>
      <c r="X203" s="18" t="n"/>
    </row>
  </sheetData>
  <mergeCells count="2">
    <mergeCell ref="C2:X2"/>
    <mergeCell ref="A1:X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5623"/>
    <outlinePr summaryBelow="1" summaryRight="1"/>
    <pageSetUpPr/>
  </sheetPr>
  <dimension ref="A1:T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.6" customWidth="1" min="1" max="1"/>
    <col width="12" customWidth="1" min="2" max="2"/>
    <col width="12" customWidth="1" min="3" max="3"/>
    <col width="9" customWidth="1" min="4" max="4"/>
    <col width="16" customWidth="1" min="5" max="5"/>
    <col width="11" customWidth="1" min="6" max="6"/>
    <col width="13" customWidth="1" min="7" max="7"/>
    <col width="12" customWidth="1" min="8" max="8"/>
    <col width="12" customWidth="1" min="9" max="9"/>
    <col width="12" customWidth="1" min="10" max="10"/>
    <col width="8" customWidth="1" min="11" max="11"/>
    <col width="24" customWidth="1" min="12" max="12"/>
    <col width="2.2" customWidth="1" min="13" max="13"/>
    <col width="6.6" customWidth="1" min="14" max="14"/>
    <col width="11" customWidth="1" min="15" max="15"/>
    <col width="12" customWidth="1" min="16" max="16"/>
    <col width="13" customWidth="1" min="17" max="17"/>
    <col width="30" customWidth="1" min="18" max="18"/>
    <col width="13" customWidth="1" min="19" max="19"/>
    <col width="13" customWidth="1" min="20" max="20"/>
  </cols>
  <sheetData>
    <row r="1" ht="28" customHeight="1">
      <c r="A1" s="32" t="inlineStr">
        <is>
          <t>客户姓名</t>
        </is>
      </c>
      <c r="B1" s="33" t="inlineStr">
        <is>
          <t>严为志</t>
        </is>
      </c>
      <c r="C1" s="3" t="n"/>
      <c r="D1" s="32" t="inlineStr">
        <is>
          <t>身份证号</t>
        </is>
      </c>
      <c r="E1" s="34" t="n"/>
      <c r="F1" s="3" t="n"/>
      <c r="G1" s="26">
        <f>IF($B$1="","← 先选客户姓名。身份证号只有碰到同名客户时才要填。",IF($E$1&lt;&gt;"","已按【姓名+身份证】筛选，典当命中 "&amp;COUNTIFS(表2客户典当登记!$E$4:$E$403,$B$1,表2客户典当登记!$F$4:$F$403,$E$1)&amp;" 笔。（不动产和资金台账没有身份证号这一列，那两块仍然只能按姓名查）",IF(IFERROR(SUMPRODUCT((表2客户典当登记!$E$4:$E$403=$B$1)*(表2客户典当登记!$F$4:$F$403&lt;&gt;"")/(COUNTIFS(表2客户典当登记!$E$4:$E$403,$B$1,表2客户典当登记!$F$4:$F$403,表2客户典当登记!$F$4:$F$403&amp;"")+(表2客户典当登记!$E$4:$E$403&lt;&gt;$B$1))),0)&gt;1,"※这个姓名下登了 "&amp;IFERROR(SUMPRODUCT((表2客户典当登记!$E$4:$E$403=$B$1)*(表2客户典当登记!$F$4:$F$403&lt;&gt;"")/(COUNTIFS(表2客户典当登记!$E$4:$E$403,$B$1,表2客户典当登记!$F$4:$F$403,表2客户典当登记!$F$4:$F$403&amp;"")+(表2客户典当登记!$E$4:$E$403&lt;&gt;$B$1))),0)&amp;" 个不同的身份证号，请把身份证号填到左边 E1 再查。","按姓名查，典当 "&amp;COUNTIF(表2客户典当登记!$E$4:$E$403,$B$1)&amp;" 笔。"&amp;IF(SUMPRODUCT((表2客户典当登记!$E$4:$E$403=$B$1)*(表2客户典当登记!$F$4:$F$403&lt;&gt;""))=0,"（这个客户还没登身份证号，没有同名就不用管）",""))))</f>
        <v/>
      </c>
      <c r="H1" s="2" t="n"/>
      <c r="I1" s="2" t="n"/>
      <c r="J1" s="2" t="n"/>
      <c r="K1" s="2" t="n"/>
      <c r="L1" s="3" t="n"/>
      <c r="N1" s="26" t="inlineStr">
        <is>
          <t>※ 右边这块取的是《A061_资金台账.xlsx》，查的时候那个文件要一起打开。</t>
        </is>
      </c>
      <c r="O1" s="2" t="n"/>
      <c r="P1" s="2" t="n"/>
      <c r="Q1" s="2" t="n"/>
      <c r="R1" s="2" t="n"/>
      <c r="S1" s="2" t="n"/>
      <c r="T1" s="3" t="n"/>
    </row>
    <row r="2" ht="20" customHeight="1">
      <c r="A2" s="35" t="inlineStr">
        <is>
          <t>典当笔数</t>
        </is>
      </c>
      <c r="B2" s="16">
        <f>IF($B$1="","",IF($E$1="",COUNTIF(表2客户典当登记!$E$4:$E$403,$B$1),COUNTIFS(表2客户典当登记!$E$4:$E$403,$B$1,表2客户典当登记!$F$4:$F$403,$E$1)))</f>
        <v/>
      </c>
      <c r="C2" s="35" t="inlineStr">
        <is>
          <t>典当金额</t>
        </is>
      </c>
      <c r="D2" s="29">
        <f>IF($B$1="","",ROUND(IF($E$1="",SUMIF(表2客户典当登记!$E$4:$E$403,$B$1,表2客户典当登记!$L$4:$L$403),SUMIFS(表2客户典当登记!$L$4:$L$403,表2客户典当登记!$E$4:$E$403,$B$1,表2客户典当登记!$F$4:$F$403,$E$1)),2))</f>
        <v/>
      </c>
      <c r="E2" s="35" t="inlineStr">
        <is>
          <t>已还本金</t>
        </is>
      </c>
      <c r="F2" s="29">
        <f>IF($B$1="","",ROUND(IF($E$1="",SUMIF(表2客户典当登记!$E$4:$E$403,$B$1,表2客户典当登记!$M$4:$M$403),SUMIFS(表2客户典当登记!$M$4:$M$403,表2客户典当登记!$E$4:$E$403,$B$1,表2客户典当登记!$F$4:$F$403,$E$1)),2))</f>
        <v/>
      </c>
      <c r="G2" s="35" t="inlineStr">
        <is>
          <t>当前在当</t>
        </is>
      </c>
      <c r="H2" s="29">
        <f>IF($B$1="","",ROUND(IF($E$1="",SUMIF(表2客户典当登记!$E$4:$E$403,$B$1,表2客户典当登记!$N$4:$N$403),SUMIFS(表2客户典当登记!$N$4:$N$403,表2客户典当登记!$E$4:$E$403,$B$1,表2客户典当登记!$F$4:$F$403,$E$1)),2))</f>
        <v/>
      </c>
      <c r="I2" s="35" t="inlineStr">
        <is>
          <t>应收利息</t>
        </is>
      </c>
      <c r="J2" s="29">
        <f>IF($B$1="","",ROUND(IF($E$1="",SUMIF(表2客户典当登记!$E$4:$E$403,$B$1,表2客户典当登记!$P$4:$P$403),SUMIFS(表2客户典当登记!$P$4:$P$403,表2客户典当登记!$E$4:$E$403,$B$1,表2客户典当登记!$F$4:$F$403,$E$1)),2))</f>
        <v/>
      </c>
      <c r="K2" s="35" t="inlineStr">
        <is>
          <t>不动产金额</t>
        </is>
      </c>
      <c r="L2" s="29">
        <f>IF($B$1="","",ROUND(SUMIF(表1不动产登记!$D$4:$D$123,$B$1,表1不动产登记!$J$4:$J$123),2))</f>
        <v/>
      </c>
      <c r="N2" s="35" t="inlineStr">
        <is>
          <t>资金·收到</t>
        </is>
      </c>
      <c r="O2" s="29">
        <f>IF($B$1="","",IFERROR(ROUND(SUMIF([1]数据录入!$I$19:$I$5078,$B$1,[1]数据录入!$F$19:$F$5078)+SUMIF([1]数据录入!$J$19:$J$5078,$B$1,[1]数据录入!$F$19:$F$5078),2),"—"))</f>
        <v/>
      </c>
      <c r="P2" s="35" t="inlineStr">
        <is>
          <t>资金·付出</t>
        </is>
      </c>
      <c r="Q2" s="29">
        <f>IF($B$1="","",IFERROR(ROUND(SUMIF([1]数据录入!$I$19:$I$5078,$B$1,[1]数据录入!$G$19:$G$5078)+SUMIF([1]数据录入!$J$19:$J$5078,$B$1,[1]数据录入!$G$19:$G$5078),2),"—"))</f>
        <v/>
      </c>
      <c r="R2" s="35" t="inlineStr">
        <is>
          <t>资金笔数</t>
        </is>
      </c>
      <c r="S2" s="16">
        <f>IF($B$1="","",IFERROR(COUNTIF([1]数据录入!$I$19:$I$5078,$B$1)+COUNTIF([1]数据录入!$J$19:$J$5078,$B$1),"—"))</f>
        <v/>
      </c>
    </row>
    <row r="3" ht="20" customHeight="1">
      <c r="A3" s="36">
        <f>IF($B$1="","一、典当记录（表2）　← 先选客户姓名","一、典当记录（表2）　共 "&amp;IF($E$1="",COUNTIF(表2客户典当登记!$E$4:$E$403,$B$1),COUNTIFS(表2客户典当登记!$E$4:$E$403,$B$1,表2客户典当登记!$F$4:$F$403,$E$1))&amp;" 笔"&amp;IF(IF($E$1="",COUNTIF(表2客户典当登记!$E$4:$E$403,$B$1),COUNTIFS(表2客户典当登记!$E$4:$E$403,$B$1,表2客户典当登记!$F$4:$F$403,$E$1))&gt;40,"　※超过预留的 40 行了，告诉我加行",""))</f>
        <v/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  <c r="N3" s="36">
        <f>IF($B$1="","二、资金收付流水（《A061_资金台账.xlsx》数据录入）　← 先选客户姓名",IFERROR("二、资金收付流水（《A061_资金台账.xlsx》数据录入）　共 "&amp;COUNTIF([1]数据录入!$I$19:$I$5078,$B$1)+COUNTIF([1]数据录入!$J$19:$J$5078,$B$1)&amp;" 笔"&amp;IF(COUNTIF([1]数据录入!$I$19:$I$5078,$B$1)+COUNTIF([1]数据录入!$J$19:$J$5078,$B$1)&gt;60,"　※超过预留的 60 行了，告诉我加行",""),"二、资金收付流水（《A061_资金台账.xlsx》数据录入）　← 取不到数：请把《A061_资金台账.xlsx》一起打开"))</f>
        <v/>
      </c>
      <c r="O3" s="2" t="n"/>
      <c r="P3" s="2" t="n"/>
      <c r="Q3" s="2" t="n"/>
      <c r="R3" s="2" t="n"/>
      <c r="S3" s="2" t="n"/>
      <c r="T3" s="3" t="n"/>
    </row>
    <row r="4" ht="28" customHeight="1">
      <c r="A4" s="37" t="inlineStr">
        <is>
          <t>序号</t>
        </is>
      </c>
      <c r="B4" s="37" t="inlineStr">
        <is>
          <t>抵押机构</t>
        </is>
      </c>
      <c r="C4" s="37" t="inlineStr">
        <is>
          <t>抵押物品</t>
        </is>
      </c>
      <c r="D4" s="37" t="inlineStr">
        <is>
          <t>状 态</t>
        </is>
      </c>
      <c r="E4" s="37" t="inlineStr">
        <is>
          <t>当票号</t>
        </is>
      </c>
      <c r="F4" s="37" t="inlineStr">
        <is>
          <t>出款日期</t>
        </is>
      </c>
      <c r="G4" s="37" t="inlineStr">
        <is>
          <t>典当金额</t>
        </is>
      </c>
      <c r="H4" s="37" t="inlineStr">
        <is>
          <t>已还本金</t>
        </is>
      </c>
      <c r="I4" s="37" t="inlineStr">
        <is>
          <t>当前在当</t>
        </is>
      </c>
      <c r="J4" s="37" t="inlineStr">
        <is>
          <t>应收利息</t>
        </is>
      </c>
      <c r="K4" s="37" t="inlineStr">
        <is>
          <t>利息日</t>
        </is>
      </c>
      <c r="L4" s="37" t="inlineStr">
        <is>
          <t>详情/备注</t>
        </is>
      </c>
      <c r="N4" s="37" t="inlineStr">
        <is>
          <t>序号</t>
        </is>
      </c>
      <c r="O4" s="37" t="inlineStr">
        <is>
          <t>日 期</t>
        </is>
      </c>
      <c r="P4" s="37" t="inlineStr">
        <is>
          <t>公司账户</t>
        </is>
      </c>
      <c r="Q4" s="37" t="inlineStr">
        <is>
          <t>收/支项目类别</t>
        </is>
      </c>
      <c r="R4" s="37" t="inlineStr">
        <is>
          <t>摘  要</t>
        </is>
      </c>
      <c r="S4" s="37" t="inlineStr">
        <is>
          <t>收入金额</t>
        </is>
      </c>
      <c r="T4" s="37" t="inlineStr">
        <is>
          <t>支出金额</t>
        </is>
      </c>
    </row>
    <row r="5">
      <c r="A5" s="18" cm="1">
        <f t="array" ref="A5:D44">IF($B$1="","",IFERROR(_xlfn._xlws.FILTER(IF(表2客户典当登记!$A$4:$D$403="","",表2客户典当登记!$A$4:$D$403),(表2客户典当登记!$E$4:$E$403=$B$1)*IF($E$1="",1,(表2客户典当登记!$F$4:$F$403&amp;"")=($E$1&amp;"")),""),""))</f>
        <v/>
      </c>
      <c r="B5" s="18" t="n"/>
      <c r="C5" s="18" t="n"/>
      <c r="D5" s="18" t="n"/>
      <c r="E5" s="18" cm="1">
        <f t="array" ref="E5:E44">IF($B$1="","",IFERROR(_xlfn._xlws.FILTER(IF(表2客户典当登记!$H$4:$H$403="","",表2客户典当登记!$H$4:$H$403),(表2客户典当登记!$E$4:$E$403=$B$1)*IF($E$1="",1,(表2客户典当登记!$F$4:$F$403&amp;"")=($E$1&amp;"")),""),""))</f>
        <v/>
      </c>
      <c r="F5" s="30" cm="1">
        <f t="array" ref="F5:I44">IF($B$1="","",IFERROR(_xlfn._xlws.FILTER(IF(表2客户典当登记!$K$4:$N$403="","",表2客户典当登记!$K$4:$N$403),(表2客户典当登记!$E$4:$E$403=$B$1)*IF($E$1="",1,(表2客户典当登记!$F$4:$F$403&amp;"")=($E$1&amp;"")),""),""))</f>
        <v/>
      </c>
      <c r="G5" s="22" t="n"/>
      <c r="H5" s="22" t="n"/>
      <c r="I5" s="22" t="n"/>
      <c r="J5" s="22" cm="1">
        <f t="array" ref="J5:K44">IF($B$1="","",IFERROR(_xlfn._xlws.FILTER(IF(表2客户典当登记!$P$4:$Q$403="","",表2客户典当登记!$P$4:$Q$403),(表2客户典当登记!$E$4:$E$403=$B$1)*IF($E$1="",1,(表2客户典当登记!$F$4:$F$403&amp;"")=($E$1&amp;"")),""),""))</f>
        <v/>
      </c>
      <c r="K5" s="18" t="n"/>
      <c r="L5" s="18" cm="1">
        <f t="array" ref="L5:L44">IF($B$1="","",IFERROR(_xlfn._xlws.FILTER(IF(表2客户典当登记!$W$4:$W$403="","",表2客户典当登记!$W$4:$W$403),(表2客户典当登记!$E$4:$E$403=$B$1)*IF($E$1="",1,(表2客户典当登记!$F$4:$F$403&amp;"")=($E$1&amp;"")),""),""))</f>
        <v/>
      </c>
      <c r="N5" s="18" cm="1">
        <f t="array" ref="N5:T64">IF($B$1="","",IFERROR(_xlfn._xlws.FILTER(IF([1]数据录入!$A$19:$G$5078="","",[1]数据录入!$A$19:$G$5078),(([1]数据录入!$I$19:$I$5078=$B$1)+([1]数据录入!$J$19:$J$5078=$B$1))&gt;0,""),""))</f>
        <v/>
      </c>
      <c r="O5" s="30" t="n"/>
      <c r="P5" s="18" t="n"/>
      <c r="Q5" s="18" t="n"/>
      <c r="R5" s="18" t="n"/>
      <c r="S5" s="22" t="n"/>
      <c r="T5" s="22" t="n"/>
    </row>
    <row r="6">
      <c r="A6" s="18" t="n"/>
      <c r="B6" s="18" t="n"/>
      <c r="C6" s="18" t="n"/>
      <c r="D6" s="18" t="n"/>
      <c r="E6" s="18" t="n"/>
      <c r="F6" s="30" t="n"/>
      <c r="G6" s="22" t="n"/>
      <c r="H6" s="22" t="n"/>
      <c r="I6" s="22" t="n"/>
      <c r="J6" s="22" t="n"/>
      <c r="K6" s="18" t="n"/>
      <c r="L6" s="18" t="n"/>
      <c r="N6" s="18" t="n"/>
      <c r="O6" s="30" t="n"/>
      <c r="P6" s="18" t="n"/>
      <c r="Q6" s="18" t="n"/>
      <c r="R6" s="18" t="n"/>
      <c r="S6" s="22" t="n"/>
      <c r="T6" s="22" t="n"/>
    </row>
    <row r="7">
      <c r="A7" s="18" t="n"/>
      <c r="B7" s="18" t="n"/>
      <c r="C7" s="18" t="n"/>
      <c r="D7" s="18" t="n"/>
      <c r="E7" s="18" t="n"/>
      <c r="F7" s="30" t="n"/>
      <c r="G7" s="22" t="n"/>
      <c r="H7" s="22" t="n"/>
      <c r="I7" s="22" t="n"/>
      <c r="J7" s="22" t="n"/>
      <c r="K7" s="18" t="n"/>
      <c r="L7" s="18" t="n"/>
      <c r="N7" s="18" t="n"/>
      <c r="O7" s="30" t="n"/>
      <c r="P7" s="18" t="n"/>
      <c r="Q7" s="18" t="n"/>
      <c r="R7" s="18" t="n"/>
      <c r="S7" s="22" t="n"/>
      <c r="T7" s="22" t="n"/>
    </row>
    <row r="8">
      <c r="A8" s="18" t="n"/>
      <c r="B8" s="18" t="n"/>
      <c r="C8" s="18" t="n"/>
      <c r="D8" s="18" t="n"/>
      <c r="E8" s="18" t="n"/>
      <c r="F8" s="30" t="n"/>
      <c r="G8" s="22" t="n"/>
      <c r="H8" s="22" t="n"/>
      <c r="I8" s="22" t="n"/>
      <c r="J8" s="22" t="n"/>
      <c r="K8" s="18" t="n"/>
      <c r="L8" s="18" t="n"/>
      <c r="N8" s="18" t="n"/>
      <c r="O8" s="30" t="n"/>
      <c r="P8" s="18" t="n"/>
      <c r="Q8" s="18" t="n"/>
      <c r="R8" s="18" t="n"/>
      <c r="S8" s="22" t="n"/>
      <c r="T8" s="22" t="n"/>
    </row>
    <row r="9">
      <c r="A9" s="18" t="n"/>
      <c r="B9" s="18" t="n"/>
      <c r="C9" s="18" t="n"/>
      <c r="D9" s="18" t="n"/>
      <c r="E9" s="18" t="n"/>
      <c r="F9" s="30" t="n"/>
      <c r="G9" s="22" t="n"/>
      <c r="H9" s="22" t="n"/>
      <c r="I9" s="22" t="n"/>
      <c r="J9" s="22" t="n"/>
      <c r="K9" s="18" t="n"/>
      <c r="L9" s="18" t="n"/>
      <c r="N9" s="18" t="n"/>
      <c r="O9" s="30" t="n"/>
      <c r="P9" s="18" t="n"/>
      <c r="Q9" s="18" t="n"/>
      <c r="R9" s="18" t="n"/>
      <c r="S9" s="22" t="n"/>
      <c r="T9" s="22" t="n"/>
    </row>
    <row r="10">
      <c r="A10" s="18" t="n"/>
      <c r="B10" s="18" t="n"/>
      <c r="C10" s="18" t="n"/>
      <c r="D10" s="18" t="n"/>
      <c r="E10" s="18" t="n"/>
      <c r="F10" s="30" t="n"/>
      <c r="G10" s="22" t="n"/>
      <c r="H10" s="22" t="n"/>
      <c r="I10" s="22" t="n"/>
      <c r="J10" s="22" t="n"/>
      <c r="K10" s="18" t="n"/>
      <c r="L10" s="18" t="n"/>
      <c r="N10" s="18" t="n"/>
      <c r="O10" s="30" t="n"/>
      <c r="P10" s="18" t="n"/>
      <c r="Q10" s="18" t="n"/>
      <c r="R10" s="18" t="n"/>
      <c r="S10" s="22" t="n"/>
      <c r="T10" s="22" t="n"/>
    </row>
    <row r="11">
      <c r="A11" s="18" t="n"/>
      <c r="B11" s="18" t="n"/>
      <c r="C11" s="18" t="n"/>
      <c r="D11" s="18" t="n"/>
      <c r="E11" s="18" t="n"/>
      <c r="F11" s="30" t="n"/>
      <c r="G11" s="22" t="n"/>
      <c r="H11" s="22" t="n"/>
      <c r="I11" s="22" t="n"/>
      <c r="J11" s="22" t="n"/>
      <c r="K11" s="18" t="n"/>
      <c r="L11" s="18" t="n"/>
      <c r="N11" s="18" t="n"/>
      <c r="O11" s="30" t="n"/>
      <c r="P11" s="18" t="n"/>
      <c r="Q11" s="18" t="n"/>
      <c r="R11" s="18" t="n"/>
      <c r="S11" s="22" t="n"/>
      <c r="T11" s="22" t="n"/>
    </row>
    <row r="12">
      <c r="A12" s="18" t="n"/>
      <c r="B12" s="18" t="n"/>
      <c r="C12" s="18" t="n"/>
      <c r="D12" s="18" t="n"/>
      <c r="E12" s="18" t="n"/>
      <c r="F12" s="30" t="n"/>
      <c r="G12" s="22" t="n"/>
      <c r="H12" s="22" t="n"/>
      <c r="I12" s="22" t="n"/>
      <c r="J12" s="22" t="n"/>
      <c r="K12" s="18" t="n"/>
      <c r="L12" s="18" t="n"/>
      <c r="N12" s="18" t="n"/>
      <c r="O12" s="30" t="n"/>
      <c r="P12" s="18" t="n"/>
      <c r="Q12" s="18" t="n"/>
      <c r="R12" s="18" t="n"/>
      <c r="S12" s="22" t="n"/>
      <c r="T12" s="22" t="n"/>
    </row>
    <row r="13">
      <c r="A13" s="18" t="n"/>
      <c r="B13" s="18" t="n"/>
      <c r="C13" s="18" t="n"/>
      <c r="D13" s="18" t="n"/>
      <c r="E13" s="18" t="n"/>
      <c r="F13" s="30" t="n"/>
      <c r="G13" s="22" t="n"/>
      <c r="H13" s="22" t="n"/>
      <c r="I13" s="22" t="n"/>
      <c r="J13" s="22" t="n"/>
      <c r="K13" s="18" t="n"/>
      <c r="L13" s="18" t="n"/>
      <c r="N13" s="18" t="n"/>
      <c r="O13" s="30" t="n"/>
      <c r="P13" s="18" t="n"/>
      <c r="Q13" s="18" t="n"/>
      <c r="R13" s="18" t="n"/>
      <c r="S13" s="22" t="n"/>
      <c r="T13" s="22" t="n"/>
    </row>
    <row r="14">
      <c r="A14" s="18" t="n"/>
      <c r="B14" s="18" t="n"/>
      <c r="C14" s="18" t="n"/>
      <c r="D14" s="18" t="n"/>
      <c r="E14" s="18" t="n"/>
      <c r="F14" s="30" t="n"/>
      <c r="G14" s="22" t="n"/>
      <c r="H14" s="22" t="n"/>
      <c r="I14" s="22" t="n"/>
      <c r="J14" s="22" t="n"/>
      <c r="K14" s="18" t="n"/>
      <c r="L14" s="18" t="n"/>
      <c r="N14" s="18" t="n"/>
      <c r="O14" s="30" t="n"/>
      <c r="P14" s="18" t="n"/>
      <c r="Q14" s="18" t="n"/>
      <c r="R14" s="18" t="n"/>
      <c r="S14" s="22" t="n"/>
      <c r="T14" s="22" t="n"/>
    </row>
    <row r="15">
      <c r="A15" s="18" t="n"/>
      <c r="B15" s="18" t="n"/>
      <c r="C15" s="18" t="n"/>
      <c r="D15" s="18" t="n"/>
      <c r="E15" s="18" t="n"/>
      <c r="F15" s="30" t="n"/>
      <c r="G15" s="22" t="n"/>
      <c r="H15" s="22" t="n"/>
      <c r="I15" s="22" t="n"/>
      <c r="J15" s="22" t="n"/>
      <c r="K15" s="18" t="n"/>
      <c r="L15" s="18" t="n"/>
      <c r="N15" s="18" t="n"/>
      <c r="O15" s="30" t="n"/>
      <c r="P15" s="18" t="n"/>
      <c r="Q15" s="18" t="n"/>
      <c r="R15" s="18" t="n"/>
      <c r="S15" s="22" t="n"/>
      <c r="T15" s="22" t="n"/>
    </row>
    <row r="16">
      <c r="A16" s="18" t="n"/>
      <c r="B16" s="18" t="n"/>
      <c r="C16" s="18" t="n"/>
      <c r="D16" s="18" t="n"/>
      <c r="E16" s="18" t="n"/>
      <c r="F16" s="30" t="n"/>
      <c r="G16" s="22" t="n"/>
      <c r="H16" s="22" t="n"/>
      <c r="I16" s="22" t="n"/>
      <c r="J16" s="22" t="n"/>
      <c r="K16" s="18" t="n"/>
      <c r="L16" s="18" t="n"/>
      <c r="N16" s="18" t="n"/>
      <c r="O16" s="30" t="n"/>
      <c r="P16" s="18" t="n"/>
      <c r="Q16" s="18" t="n"/>
      <c r="R16" s="18" t="n"/>
      <c r="S16" s="22" t="n"/>
      <c r="T16" s="22" t="n"/>
    </row>
    <row r="17">
      <c r="A17" s="18" t="n"/>
      <c r="B17" s="18" t="n"/>
      <c r="C17" s="18" t="n"/>
      <c r="D17" s="18" t="n"/>
      <c r="E17" s="18" t="n"/>
      <c r="F17" s="30" t="n"/>
      <c r="G17" s="22" t="n"/>
      <c r="H17" s="22" t="n"/>
      <c r="I17" s="22" t="n"/>
      <c r="J17" s="22" t="n"/>
      <c r="K17" s="18" t="n"/>
      <c r="L17" s="18" t="n"/>
      <c r="N17" s="18" t="n"/>
      <c r="O17" s="30" t="n"/>
      <c r="P17" s="18" t="n"/>
      <c r="Q17" s="18" t="n"/>
      <c r="R17" s="18" t="n"/>
      <c r="S17" s="22" t="n"/>
      <c r="T17" s="22" t="n"/>
    </row>
    <row r="18">
      <c r="A18" s="18" t="n"/>
      <c r="B18" s="18" t="n"/>
      <c r="C18" s="18" t="n"/>
      <c r="D18" s="18" t="n"/>
      <c r="E18" s="18" t="n"/>
      <c r="F18" s="30" t="n"/>
      <c r="G18" s="22" t="n"/>
      <c r="H18" s="22" t="n"/>
      <c r="I18" s="22" t="n"/>
      <c r="J18" s="22" t="n"/>
      <c r="K18" s="18" t="n"/>
      <c r="L18" s="18" t="n"/>
      <c r="N18" s="18" t="n"/>
      <c r="O18" s="30" t="n"/>
      <c r="P18" s="18" t="n"/>
      <c r="Q18" s="18" t="n"/>
      <c r="R18" s="18" t="n"/>
      <c r="S18" s="22" t="n"/>
      <c r="T18" s="22" t="n"/>
    </row>
    <row r="19">
      <c r="A19" s="18" t="n"/>
      <c r="B19" s="18" t="n"/>
      <c r="C19" s="18" t="n"/>
      <c r="D19" s="18" t="n"/>
      <c r="E19" s="18" t="n"/>
      <c r="F19" s="30" t="n"/>
      <c r="G19" s="22" t="n"/>
      <c r="H19" s="22" t="n"/>
      <c r="I19" s="22" t="n"/>
      <c r="J19" s="22" t="n"/>
      <c r="K19" s="18" t="n"/>
      <c r="L19" s="18" t="n"/>
      <c r="N19" s="18" t="n"/>
      <c r="O19" s="30" t="n"/>
      <c r="P19" s="18" t="n"/>
      <c r="Q19" s="18" t="n"/>
      <c r="R19" s="18" t="n"/>
      <c r="S19" s="22" t="n"/>
      <c r="T19" s="22" t="n"/>
    </row>
    <row r="20">
      <c r="A20" s="18" t="n"/>
      <c r="B20" s="18" t="n"/>
      <c r="C20" s="18" t="n"/>
      <c r="D20" s="18" t="n"/>
      <c r="E20" s="18" t="n"/>
      <c r="F20" s="30" t="n"/>
      <c r="G20" s="22" t="n"/>
      <c r="H20" s="22" t="n"/>
      <c r="I20" s="22" t="n"/>
      <c r="J20" s="22" t="n"/>
      <c r="K20" s="18" t="n"/>
      <c r="L20" s="18" t="n"/>
      <c r="N20" s="18" t="n"/>
      <c r="O20" s="30" t="n"/>
      <c r="P20" s="18" t="n"/>
      <c r="Q20" s="18" t="n"/>
      <c r="R20" s="18" t="n"/>
      <c r="S20" s="22" t="n"/>
      <c r="T20" s="22" t="n"/>
    </row>
    <row r="21">
      <c r="A21" s="18" t="n"/>
      <c r="B21" s="18" t="n"/>
      <c r="C21" s="18" t="n"/>
      <c r="D21" s="18" t="n"/>
      <c r="E21" s="18" t="n"/>
      <c r="F21" s="30" t="n"/>
      <c r="G21" s="22" t="n"/>
      <c r="H21" s="22" t="n"/>
      <c r="I21" s="22" t="n"/>
      <c r="J21" s="22" t="n"/>
      <c r="K21" s="18" t="n"/>
      <c r="L21" s="18" t="n"/>
      <c r="N21" s="18" t="n"/>
      <c r="O21" s="30" t="n"/>
      <c r="P21" s="18" t="n"/>
      <c r="Q21" s="18" t="n"/>
      <c r="R21" s="18" t="n"/>
      <c r="S21" s="22" t="n"/>
      <c r="T21" s="22" t="n"/>
    </row>
    <row r="22">
      <c r="A22" s="18" t="n"/>
      <c r="B22" s="18" t="n"/>
      <c r="C22" s="18" t="n"/>
      <c r="D22" s="18" t="n"/>
      <c r="E22" s="18" t="n"/>
      <c r="F22" s="30" t="n"/>
      <c r="G22" s="22" t="n"/>
      <c r="H22" s="22" t="n"/>
      <c r="I22" s="22" t="n"/>
      <c r="J22" s="22" t="n"/>
      <c r="K22" s="18" t="n"/>
      <c r="L22" s="18" t="n"/>
      <c r="N22" s="18" t="n"/>
      <c r="O22" s="30" t="n"/>
      <c r="P22" s="18" t="n"/>
      <c r="Q22" s="18" t="n"/>
      <c r="R22" s="18" t="n"/>
      <c r="S22" s="22" t="n"/>
      <c r="T22" s="22" t="n"/>
    </row>
    <row r="23">
      <c r="A23" s="18" t="n"/>
      <c r="B23" s="18" t="n"/>
      <c r="C23" s="18" t="n"/>
      <c r="D23" s="18" t="n"/>
      <c r="E23" s="18" t="n"/>
      <c r="F23" s="30" t="n"/>
      <c r="G23" s="22" t="n"/>
      <c r="H23" s="22" t="n"/>
      <c r="I23" s="22" t="n"/>
      <c r="J23" s="22" t="n"/>
      <c r="K23" s="18" t="n"/>
      <c r="L23" s="18" t="n"/>
      <c r="N23" s="18" t="n"/>
      <c r="O23" s="30" t="n"/>
      <c r="P23" s="18" t="n"/>
      <c r="Q23" s="18" t="n"/>
      <c r="R23" s="18" t="n"/>
      <c r="S23" s="22" t="n"/>
      <c r="T23" s="22" t="n"/>
    </row>
    <row r="24">
      <c r="A24" s="18" t="n"/>
      <c r="B24" s="18" t="n"/>
      <c r="C24" s="18" t="n"/>
      <c r="D24" s="18" t="n"/>
      <c r="E24" s="18" t="n"/>
      <c r="F24" s="30" t="n"/>
      <c r="G24" s="22" t="n"/>
      <c r="H24" s="22" t="n"/>
      <c r="I24" s="22" t="n"/>
      <c r="J24" s="22" t="n"/>
      <c r="K24" s="18" t="n"/>
      <c r="L24" s="18" t="n"/>
      <c r="N24" s="18" t="n"/>
      <c r="O24" s="30" t="n"/>
      <c r="P24" s="18" t="n"/>
      <c r="Q24" s="18" t="n"/>
      <c r="R24" s="18" t="n"/>
      <c r="S24" s="22" t="n"/>
      <c r="T24" s="22" t="n"/>
    </row>
    <row r="25">
      <c r="A25" s="18" t="n"/>
      <c r="B25" s="18" t="n"/>
      <c r="C25" s="18" t="n"/>
      <c r="D25" s="18" t="n"/>
      <c r="E25" s="18" t="n"/>
      <c r="F25" s="30" t="n"/>
      <c r="G25" s="22" t="n"/>
      <c r="H25" s="22" t="n"/>
      <c r="I25" s="22" t="n"/>
      <c r="J25" s="22" t="n"/>
      <c r="K25" s="18" t="n"/>
      <c r="L25" s="18" t="n"/>
      <c r="N25" s="18" t="n"/>
      <c r="O25" s="30" t="n"/>
      <c r="P25" s="18" t="n"/>
      <c r="Q25" s="18" t="n"/>
      <c r="R25" s="18" t="n"/>
      <c r="S25" s="22" t="n"/>
      <c r="T25" s="22" t="n"/>
    </row>
    <row r="26">
      <c r="A26" s="18" t="n"/>
      <c r="B26" s="18" t="n"/>
      <c r="C26" s="18" t="n"/>
      <c r="D26" s="18" t="n"/>
      <c r="E26" s="18" t="n"/>
      <c r="F26" s="30" t="n"/>
      <c r="G26" s="22" t="n"/>
      <c r="H26" s="22" t="n"/>
      <c r="I26" s="22" t="n"/>
      <c r="J26" s="22" t="n"/>
      <c r="K26" s="18" t="n"/>
      <c r="L26" s="18" t="n"/>
      <c r="N26" s="18" t="n"/>
      <c r="O26" s="30" t="n"/>
      <c r="P26" s="18" t="n"/>
      <c r="Q26" s="18" t="n"/>
      <c r="R26" s="18" t="n"/>
      <c r="S26" s="22" t="n"/>
      <c r="T26" s="22" t="n"/>
    </row>
    <row r="27">
      <c r="A27" s="18" t="n"/>
      <c r="B27" s="18" t="n"/>
      <c r="C27" s="18" t="n"/>
      <c r="D27" s="18" t="n"/>
      <c r="E27" s="18" t="n"/>
      <c r="F27" s="30" t="n"/>
      <c r="G27" s="22" t="n"/>
      <c r="H27" s="22" t="n"/>
      <c r="I27" s="22" t="n"/>
      <c r="J27" s="22" t="n"/>
      <c r="K27" s="18" t="n"/>
      <c r="L27" s="18" t="n"/>
      <c r="N27" s="18" t="n"/>
      <c r="O27" s="30" t="n"/>
      <c r="P27" s="18" t="n"/>
      <c r="Q27" s="18" t="n"/>
      <c r="R27" s="18" t="n"/>
      <c r="S27" s="22" t="n"/>
      <c r="T27" s="22" t="n"/>
    </row>
    <row r="28">
      <c r="A28" s="18" t="n"/>
      <c r="B28" s="18" t="n"/>
      <c r="C28" s="18" t="n"/>
      <c r="D28" s="18" t="n"/>
      <c r="E28" s="18" t="n"/>
      <c r="F28" s="30" t="n"/>
      <c r="G28" s="22" t="n"/>
      <c r="H28" s="22" t="n"/>
      <c r="I28" s="22" t="n"/>
      <c r="J28" s="22" t="n"/>
      <c r="K28" s="18" t="n"/>
      <c r="L28" s="18" t="n"/>
      <c r="N28" s="18" t="n"/>
      <c r="O28" s="30" t="n"/>
      <c r="P28" s="18" t="n"/>
      <c r="Q28" s="18" t="n"/>
      <c r="R28" s="18" t="n"/>
      <c r="S28" s="22" t="n"/>
      <c r="T28" s="22" t="n"/>
    </row>
    <row r="29">
      <c r="A29" s="18" t="n"/>
      <c r="B29" s="18" t="n"/>
      <c r="C29" s="18" t="n"/>
      <c r="D29" s="18" t="n"/>
      <c r="E29" s="18" t="n"/>
      <c r="F29" s="30" t="n"/>
      <c r="G29" s="22" t="n"/>
      <c r="H29" s="22" t="n"/>
      <c r="I29" s="22" t="n"/>
      <c r="J29" s="22" t="n"/>
      <c r="K29" s="18" t="n"/>
      <c r="L29" s="18" t="n"/>
      <c r="N29" s="18" t="n"/>
      <c r="O29" s="30" t="n"/>
      <c r="P29" s="18" t="n"/>
      <c r="Q29" s="18" t="n"/>
      <c r="R29" s="18" t="n"/>
      <c r="S29" s="22" t="n"/>
      <c r="T29" s="22" t="n"/>
    </row>
    <row r="30">
      <c r="A30" s="18" t="n"/>
      <c r="B30" s="18" t="n"/>
      <c r="C30" s="18" t="n"/>
      <c r="D30" s="18" t="n"/>
      <c r="E30" s="18" t="n"/>
      <c r="F30" s="30" t="n"/>
      <c r="G30" s="22" t="n"/>
      <c r="H30" s="22" t="n"/>
      <c r="I30" s="22" t="n"/>
      <c r="J30" s="22" t="n"/>
      <c r="K30" s="18" t="n"/>
      <c r="L30" s="18" t="n"/>
      <c r="N30" s="18" t="n"/>
      <c r="O30" s="30" t="n"/>
      <c r="P30" s="18" t="n"/>
      <c r="Q30" s="18" t="n"/>
      <c r="R30" s="18" t="n"/>
      <c r="S30" s="22" t="n"/>
      <c r="T30" s="22" t="n"/>
    </row>
    <row r="31">
      <c r="A31" s="18" t="n"/>
      <c r="B31" s="18" t="n"/>
      <c r="C31" s="18" t="n"/>
      <c r="D31" s="18" t="n"/>
      <c r="E31" s="18" t="n"/>
      <c r="F31" s="30" t="n"/>
      <c r="G31" s="22" t="n"/>
      <c r="H31" s="22" t="n"/>
      <c r="I31" s="22" t="n"/>
      <c r="J31" s="22" t="n"/>
      <c r="K31" s="18" t="n"/>
      <c r="L31" s="18" t="n"/>
      <c r="N31" s="18" t="n"/>
      <c r="O31" s="30" t="n"/>
      <c r="P31" s="18" t="n"/>
      <c r="Q31" s="18" t="n"/>
      <c r="R31" s="18" t="n"/>
      <c r="S31" s="22" t="n"/>
      <c r="T31" s="22" t="n"/>
    </row>
    <row r="32">
      <c r="A32" s="18" t="n"/>
      <c r="B32" s="18" t="n"/>
      <c r="C32" s="18" t="n"/>
      <c r="D32" s="18" t="n"/>
      <c r="E32" s="18" t="n"/>
      <c r="F32" s="30" t="n"/>
      <c r="G32" s="22" t="n"/>
      <c r="H32" s="22" t="n"/>
      <c r="I32" s="22" t="n"/>
      <c r="J32" s="22" t="n"/>
      <c r="K32" s="18" t="n"/>
      <c r="L32" s="18" t="n"/>
      <c r="N32" s="18" t="n"/>
      <c r="O32" s="30" t="n"/>
      <c r="P32" s="18" t="n"/>
      <c r="Q32" s="18" t="n"/>
      <c r="R32" s="18" t="n"/>
      <c r="S32" s="22" t="n"/>
      <c r="T32" s="22" t="n"/>
    </row>
    <row r="33">
      <c r="A33" s="18" t="n"/>
      <c r="B33" s="18" t="n"/>
      <c r="C33" s="18" t="n"/>
      <c r="D33" s="18" t="n"/>
      <c r="E33" s="18" t="n"/>
      <c r="F33" s="30" t="n"/>
      <c r="G33" s="22" t="n"/>
      <c r="H33" s="22" t="n"/>
      <c r="I33" s="22" t="n"/>
      <c r="J33" s="22" t="n"/>
      <c r="K33" s="18" t="n"/>
      <c r="L33" s="18" t="n"/>
      <c r="N33" s="18" t="n"/>
      <c r="O33" s="30" t="n"/>
      <c r="P33" s="18" t="n"/>
      <c r="Q33" s="18" t="n"/>
      <c r="R33" s="18" t="n"/>
      <c r="S33" s="22" t="n"/>
      <c r="T33" s="22" t="n"/>
    </row>
    <row r="34">
      <c r="A34" s="18" t="n"/>
      <c r="B34" s="18" t="n"/>
      <c r="C34" s="18" t="n"/>
      <c r="D34" s="18" t="n"/>
      <c r="E34" s="18" t="n"/>
      <c r="F34" s="30" t="n"/>
      <c r="G34" s="22" t="n"/>
      <c r="H34" s="22" t="n"/>
      <c r="I34" s="22" t="n"/>
      <c r="J34" s="22" t="n"/>
      <c r="K34" s="18" t="n"/>
      <c r="L34" s="18" t="n"/>
      <c r="N34" s="18" t="n"/>
      <c r="O34" s="30" t="n"/>
      <c r="P34" s="18" t="n"/>
      <c r="Q34" s="18" t="n"/>
      <c r="R34" s="18" t="n"/>
      <c r="S34" s="22" t="n"/>
      <c r="T34" s="22" t="n"/>
    </row>
    <row r="35">
      <c r="A35" s="18" t="n"/>
      <c r="B35" s="18" t="n"/>
      <c r="C35" s="18" t="n"/>
      <c r="D35" s="18" t="n"/>
      <c r="E35" s="18" t="n"/>
      <c r="F35" s="30" t="n"/>
      <c r="G35" s="22" t="n"/>
      <c r="H35" s="22" t="n"/>
      <c r="I35" s="22" t="n"/>
      <c r="J35" s="22" t="n"/>
      <c r="K35" s="18" t="n"/>
      <c r="L35" s="18" t="n"/>
      <c r="N35" s="18" t="n"/>
      <c r="O35" s="30" t="n"/>
      <c r="P35" s="18" t="n"/>
      <c r="Q35" s="18" t="n"/>
      <c r="R35" s="18" t="n"/>
      <c r="S35" s="22" t="n"/>
      <c r="T35" s="22" t="n"/>
    </row>
    <row r="36">
      <c r="A36" s="18" t="n"/>
      <c r="B36" s="18" t="n"/>
      <c r="C36" s="18" t="n"/>
      <c r="D36" s="18" t="n"/>
      <c r="E36" s="18" t="n"/>
      <c r="F36" s="30" t="n"/>
      <c r="G36" s="22" t="n"/>
      <c r="H36" s="22" t="n"/>
      <c r="I36" s="22" t="n"/>
      <c r="J36" s="22" t="n"/>
      <c r="K36" s="18" t="n"/>
      <c r="L36" s="18" t="n"/>
      <c r="N36" s="18" t="n"/>
      <c r="O36" s="30" t="n"/>
      <c r="P36" s="18" t="n"/>
      <c r="Q36" s="18" t="n"/>
      <c r="R36" s="18" t="n"/>
      <c r="S36" s="22" t="n"/>
      <c r="T36" s="22" t="n"/>
    </row>
    <row r="37">
      <c r="A37" s="18" t="n"/>
      <c r="B37" s="18" t="n"/>
      <c r="C37" s="18" t="n"/>
      <c r="D37" s="18" t="n"/>
      <c r="E37" s="18" t="n"/>
      <c r="F37" s="30" t="n"/>
      <c r="G37" s="22" t="n"/>
      <c r="H37" s="22" t="n"/>
      <c r="I37" s="22" t="n"/>
      <c r="J37" s="22" t="n"/>
      <c r="K37" s="18" t="n"/>
      <c r="L37" s="18" t="n"/>
      <c r="N37" s="18" t="n"/>
      <c r="O37" s="30" t="n"/>
      <c r="P37" s="18" t="n"/>
      <c r="Q37" s="18" t="n"/>
      <c r="R37" s="18" t="n"/>
      <c r="S37" s="22" t="n"/>
      <c r="T37" s="22" t="n"/>
    </row>
    <row r="38">
      <c r="A38" s="18" t="n"/>
      <c r="B38" s="18" t="n"/>
      <c r="C38" s="18" t="n"/>
      <c r="D38" s="18" t="n"/>
      <c r="E38" s="18" t="n"/>
      <c r="F38" s="30" t="n"/>
      <c r="G38" s="22" t="n"/>
      <c r="H38" s="22" t="n"/>
      <c r="I38" s="22" t="n"/>
      <c r="J38" s="22" t="n"/>
      <c r="K38" s="18" t="n"/>
      <c r="L38" s="18" t="n"/>
      <c r="N38" s="18" t="n"/>
      <c r="O38" s="30" t="n"/>
      <c r="P38" s="18" t="n"/>
      <c r="Q38" s="18" t="n"/>
      <c r="R38" s="18" t="n"/>
      <c r="S38" s="22" t="n"/>
      <c r="T38" s="22" t="n"/>
    </row>
    <row r="39">
      <c r="A39" s="18" t="n"/>
      <c r="B39" s="18" t="n"/>
      <c r="C39" s="18" t="n"/>
      <c r="D39" s="18" t="n"/>
      <c r="E39" s="18" t="n"/>
      <c r="F39" s="30" t="n"/>
      <c r="G39" s="22" t="n"/>
      <c r="H39" s="22" t="n"/>
      <c r="I39" s="22" t="n"/>
      <c r="J39" s="22" t="n"/>
      <c r="K39" s="18" t="n"/>
      <c r="L39" s="18" t="n"/>
      <c r="N39" s="18" t="n"/>
      <c r="O39" s="30" t="n"/>
      <c r="P39" s="18" t="n"/>
      <c r="Q39" s="18" t="n"/>
      <c r="R39" s="18" t="n"/>
      <c r="S39" s="22" t="n"/>
      <c r="T39" s="22" t="n"/>
    </row>
    <row r="40">
      <c r="A40" s="18" t="n"/>
      <c r="B40" s="18" t="n"/>
      <c r="C40" s="18" t="n"/>
      <c r="D40" s="18" t="n"/>
      <c r="E40" s="18" t="n"/>
      <c r="F40" s="30" t="n"/>
      <c r="G40" s="22" t="n"/>
      <c r="H40" s="22" t="n"/>
      <c r="I40" s="22" t="n"/>
      <c r="J40" s="22" t="n"/>
      <c r="K40" s="18" t="n"/>
      <c r="L40" s="18" t="n"/>
      <c r="N40" s="18" t="n"/>
      <c r="O40" s="30" t="n"/>
      <c r="P40" s="18" t="n"/>
      <c r="Q40" s="18" t="n"/>
      <c r="R40" s="18" t="n"/>
      <c r="S40" s="22" t="n"/>
      <c r="T40" s="22" t="n"/>
    </row>
    <row r="41">
      <c r="A41" s="18" t="n"/>
      <c r="B41" s="18" t="n"/>
      <c r="C41" s="18" t="n"/>
      <c r="D41" s="18" t="n"/>
      <c r="E41" s="18" t="n"/>
      <c r="F41" s="30" t="n"/>
      <c r="G41" s="22" t="n"/>
      <c r="H41" s="22" t="n"/>
      <c r="I41" s="22" t="n"/>
      <c r="J41" s="22" t="n"/>
      <c r="K41" s="18" t="n"/>
      <c r="L41" s="18" t="n"/>
      <c r="N41" s="18" t="n"/>
      <c r="O41" s="30" t="n"/>
      <c r="P41" s="18" t="n"/>
      <c r="Q41" s="18" t="n"/>
      <c r="R41" s="18" t="n"/>
      <c r="S41" s="22" t="n"/>
      <c r="T41" s="22" t="n"/>
    </row>
    <row r="42">
      <c r="A42" s="18" t="n"/>
      <c r="B42" s="18" t="n"/>
      <c r="C42" s="18" t="n"/>
      <c r="D42" s="18" t="n"/>
      <c r="E42" s="18" t="n"/>
      <c r="F42" s="30" t="n"/>
      <c r="G42" s="22" t="n"/>
      <c r="H42" s="22" t="n"/>
      <c r="I42" s="22" t="n"/>
      <c r="J42" s="22" t="n"/>
      <c r="K42" s="18" t="n"/>
      <c r="L42" s="18" t="n"/>
      <c r="N42" s="18" t="n"/>
      <c r="O42" s="30" t="n"/>
      <c r="P42" s="18" t="n"/>
      <c r="Q42" s="18" t="n"/>
      <c r="R42" s="18" t="n"/>
      <c r="S42" s="22" t="n"/>
      <c r="T42" s="22" t="n"/>
    </row>
    <row r="43">
      <c r="A43" s="18" t="n"/>
      <c r="B43" s="18" t="n"/>
      <c r="C43" s="18" t="n"/>
      <c r="D43" s="18" t="n"/>
      <c r="E43" s="18" t="n"/>
      <c r="F43" s="30" t="n"/>
      <c r="G43" s="22" t="n"/>
      <c r="H43" s="22" t="n"/>
      <c r="I43" s="22" t="n"/>
      <c r="J43" s="22" t="n"/>
      <c r="K43" s="18" t="n"/>
      <c r="L43" s="18" t="n"/>
      <c r="N43" s="18" t="n"/>
      <c r="O43" s="30" t="n"/>
      <c r="P43" s="18" t="n"/>
      <c r="Q43" s="18" t="n"/>
      <c r="R43" s="18" t="n"/>
      <c r="S43" s="22" t="n"/>
      <c r="T43" s="22" t="n"/>
    </row>
    <row r="44">
      <c r="A44" s="18" t="n"/>
      <c r="B44" s="18" t="n"/>
      <c r="C44" s="18" t="n"/>
      <c r="D44" s="18" t="n"/>
      <c r="E44" s="18" t="n"/>
      <c r="F44" s="30" t="n"/>
      <c r="G44" s="22" t="n"/>
      <c r="H44" s="22" t="n"/>
      <c r="I44" s="22" t="n"/>
      <c r="J44" s="22" t="n"/>
      <c r="K44" s="18" t="n"/>
      <c r="L44" s="18" t="n"/>
      <c r="N44" s="18" t="n"/>
      <c r="O44" s="30" t="n"/>
      <c r="P44" s="18" t="n"/>
      <c r="Q44" s="18" t="n"/>
      <c r="R44" s="18" t="n"/>
      <c r="S44" s="22" t="n"/>
      <c r="T44" s="22" t="n"/>
    </row>
    <row r="45">
      <c r="N45" s="18" t="n"/>
      <c r="O45" s="30" t="n"/>
      <c r="P45" s="18" t="n"/>
      <c r="Q45" s="18" t="n"/>
      <c r="R45" s="18" t="n"/>
      <c r="S45" s="22" t="n"/>
      <c r="T45" s="22" t="n"/>
    </row>
    <row r="46" ht="20" customHeight="1">
      <c r="A46" s="36">
        <f>IF($B$1="","三、不动产记录（表1 · 就是上面金辉典当那几笔的收款明细，别跟上面相加）　← 先选客户姓名","三、不动产记录（表1 · 就是上面金辉典当那几笔的收款明细，别跟上面相加）　共 "&amp;COUNTIF(表1不动产登记!$D$4:$D$123,$B$1)&amp;" 笔"&amp;IF(COUNTIF(表1不动产登记!$D$4:$D$123,$B$1)&gt;20,"　※超过预留的 20 行了，告诉我加行",""))</f>
        <v/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/>
      <c r="N46" s="18" t="n"/>
      <c r="O46" s="30" t="n"/>
      <c r="P46" s="18" t="n"/>
      <c r="Q46" s="18" t="n"/>
      <c r="R46" s="18" t="n"/>
      <c r="S46" s="22" t="n"/>
      <c r="T46" s="22" t="n"/>
    </row>
    <row r="47" ht="28" customHeight="1">
      <c r="A47" s="37" t="inlineStr">
        <is>
          <t>序号</t>
        </is>
      </c>
      <c r="B47" s="37" t="inlineStr">
        <is>
          <t>抵押物品</t>
        </is>
      </c>
      <c r="C47" s="37" t="inlineStr">
        <is>
          <t>状 态</t>
        </is>
      </c>
      <c r="D47" s="37" t="inlineStr">
        <is>
          <t>当票号</t>
        </is>
      </c>
      <c r="E47" s="37" t="inlineStr">
        <is>
          <t>当票日期</t>
        </is>
      </c>
      <c r="F47" s="37" t="inlineStr">
        <is>
          <t>到期日</t>
        </is>
      </c>
      <c r="G47" s="37" t="inlineStr">
        <is>
          <t>出款日期</t>
        </is>
      </c>
      <c r="H47" s="37" t="inlineStr">
        <is>
          <t>典当金额</t>
        </is>
      </c>
      <c r="I47" s="37" t="inlineStr">
        <is>
          <t>应收利息</t>
        </is>
      </c>
      <c r="J47" s="37" t="inlineStr">
        <is>
          <t>合计收款</t>
        </is>
      </c>
      <c r="K47" s="37" t="inlineStr">
        <is>
          <t>逾期天数</t>
        </is>
      </c>
      <c r="L47" s="37" t="inlineStr">
        <is>
          <t>应收滞纳金</t>
        </is>
      </c>
      <c r="N47" s="18" t="n"/>
      <c r="O47" s="30" t="n"/>
      <c r="P47" s="18" t="n"/>
      <c r="Q47" s="18" t="n"/>
      <c r="R47" s="18" t="n"/>
      <c r="S47" s="22" t="n"/>
      <c r="T47" s="22" t="n"/>
    </row>
    <row r="48">
      <c r="A48" s="18" cm="1">
        <f t="array" ref="A48:C67">IF($B$1="","",IFERROR(_xlfn._xlws.FILTER(IF(表1不动产登记!$A$4:$C$123="","",表1不动产登记!$A$4:$C$123),表1不动产登记!$D$4:$D$123=$B$1,""),""))</f>
        <v/>
      </c>
      <c r="B48" s="18" t="n"/>
      <c r="C48" s="18" t="n"/>
      <c r="D48" s="18" cm="1">
        <f t="array" ref="D48:H67">IF($B$1="","",IFERROR(_xlfn._xlws.FILTER(IF(表1不动产登记!$F$4:$J$123="","",表1不动产登记!$F$4:$J$123),表1不动产登记!$D$4:$D$123=$B$1,""),""))</f>
        <v/>
      </c>
      <c r="E48" s="30" t="n"/>
      <c r="F48" s="30" t="n"/>
      <c r="G48" s="30" t="n"/>
      <c r="H48" s="22" t="n"/>
      <c r="I48" s="22" cm="1">
        <f t="array" ref="I48:I67">IF($B$1="","",IFERROR(_xlfn._xlws.FILTER(IF(表1不动产登记!$L$4:$L$123="","",表1不动产登记!$L$4:$L$123),表1不动产登记!$D$4:$D$123=$B$1,""),""))</f>
        <v/>
      </c>
      <c r="J48" s="22" cm="1">
        <f t="array" ref="J48:J67">IF($B$1="","",IFERROR(_xlfn._xlws.FILTER(IF(表1不动产登记!$S$4:$S$123="","",表1不动产登记!$S$4:$S$123),表1不动产登记!$D$4:$D$123=$B$1,""),""))</f>
        <v/>
      </c>
      <c r="K48" s="23" cm="1">
        <f t="array" ref="K48:L67">IF($B$1="","",IFERROR(_xlfn._xlws.FILTER(IF(表1不动产登记!$V$4:$W$123="","",表1不动产登记!$V$4:$W$123),表1不动产登记!$D$4:$D$123=$B$1,""),""))</f>
        <v/>
      </c>
      <c r="L48" s="22" t="n"/>
      <c r="N48" s="18" t="n"/>
      <c r="O48" s="30" t="n"/>
      <c r="P48" s="18" t="n"/>
      <c r="Q48" s="18" t="n"/>
      <c r="R48" s="18" t="n"/>
      <c r="S48" s="22" t="n"/>
      <c r="T48" s="22" t="n"/>
    </row>
    <row r="49">
      <c r="A49" s="18" t="n"/>
      <c r="B49" s="18" t="n"/>
      <c r="C49" s="18" t="n"/>
      <c r="D49" s="18" t="n"/>
      <c r="E49" s="30" t="n"/>
      <c r="F49" s="30" t="n"/>
      <c r="G49" s="30" t="n"/>
      <c r="H49" s="22" t="n"/>
      <c r="I49" s="22" t="n"/>
      <c r="J49" s="22" t="n"/>
      <c r="K49" s="23" t="n"/>
      <c r="L49" s="22" t="n"/>
      <c r="N49" s="18" t="n"/>
      <c r="O49" s="30" t="n"/>
      <c r="P49" s="18" t="n"/>
      <c r="Q49" s="18" t="n"/>
      <c r="R49" s="18" t="n"/>
      <c r="S49" s="22" t="n"/>
      <c r="T49" s="22" t="n"/>
    </row>
    <row r="50">
      <c r="A50" s="18" t="n"/>
      <c r="B50" s="18" t="n"/>
      <c r="C50" s="18" t="n"/>
      <c r="D50" s="18" t="n"/>
      <c r="E50" s="30" t="n"/>
      <c r="F50" s="30" t="n"/>
      <c r="G50" s="30" t="n"/>
      <c r="H50" s="22" t="n"/>
      <c r="I50" s="22" t="n"/>
      <c r="J50" s="22" t="n"/>
      <c r="K50" s="23" t="n"/>
      <c r="L50" s="22" t="n"/>
      <c r="N50" s="18" t="n"/>
      <c r="O50" s="30" t="n"/>
      <c r="P50" s="18" t="n"/>
      <c r="Q50" s="18" t="n"/>
      <c r="R50" s="18" t="n"/>
      <c r="S50" s="22" t="n"/>
      <c r="T50" s="22" t="n"/>
    </row>
    <row r="51">
      <c r="A51" s="18" t="n"/>
      <c r="B51" s="18" t="n"/>
      <c r="C51" s="18" t="n"/>
      <c r="D51" s="18" t="n"/>
      <c r="E51" s="30" t="n"/>
      <c r="F51" s="30" t="n"/>
      <c r="G51" s="30" t="n"/>
      <c r="H51" s="22" t="n"/>
      <c r="I51" s="22" t="n"/>
      <c r="J51" s="22" t="n"/>
      <c r="K51" s="23" t="n"/>
      <c r="L51" s="22" t="n"/>
      <c r="N51" s="18" t="n"/>
      <c r="O51" s="30" t="n"/>
      <c r="P51" s="18" t="n"/>
      <c r="Q51" s="18" t="n"/>
      <c r="R51" s="18" t="n"/>
      <c r="S51" s="22" t="n"/>
      <c r="T51" s="22" t="n"/>
    </row>
    <row r="52">
      <c r="A52" s="18" t="n"/>
      <c r="B52" s="18" t="n"/>
      <c r="C52" s="18" t="n"/>
      <c r="D52" s="18" t="n"/>
      <c r="E52" s="30" t="n"/>
      <c r="F52" s="30" t="n"/>
      <c r="G52" s="30" t="n"/>
      <c r="H52" s="22" t="n"/>
      <c r="I52" s="22" t="n"/>
      <c r="J52" s="22" t="n"/>
      <c r="K52" s="23" t="n"/>
      <c r="L52" s="22" t="n"/>
      <c r="N52" s="18" t="n"/>
      <c r="O52" s="30" t="n"/>
      <c r="P52" s="18" t="n"/>
      <c r="Q52" s="18" t="n"/>
      <c r="R52" s="18" t="n"/>
      <c r="S52" s="22" t="n"/>
      <c r="T52" s="22" t="n"/>
    </row>
    <row r="53">
      <c r="A53" s="18" t="n"/>
      <c r="B53" s="18" t="n"/>
      <c r="C53" s="18" t="n"/>
      <c r="D53" s="18" t="n"/>
      <c r="E53" s="30" t="n"/>
      <c r="F53" s="30" t="n"/>
      <c r="G53" s="30" t="n"/>
      <c r="H53" s="22" t="n"/>
      <c r="I53" s="22" t="n"/>
      <c r="J53" s="22" t="n"/>
      <c r="K53" s="23" t="n"/>
      <c r="L53" s="22" t="n"/>
      <c r="N53" s="18" t="n"/>
      <c r="O53" s="30" t="n"/>
      <c r="P53" s="18" t="n"/>
      <c r="Q53" s="18" t="n"/>
      <c r="R53" s="18" t="n"/>
      <c r="S53" s="22" t="n"/>
      <c r="T53" s="22" t="n"/>
    </row>
    <row r="54">
      <c r="A54" s="18" t="n"/>
      <c r="B54" s="18" t="n"/>
      <c r="C54" s="18" t="n"/>
      <c r="D54" s="18" t="n"/>
      <c r="E54" s="30" t="n"/>
      <c r="F54" s="30" t="n"/>
      <c r="G54" s="30" t="n"/>
      <c r="H54" s="22" t="n"/>
      <c r="I54" s="22" t="n"/>
      <c r="J54" s="22" t="n"/>
      <c r="K54" s="23" t="n"/>
      <c r="L54" s="22" t="n"/>
      <c r="N54" s="18" t="n"/>
      <c r="O54" s="30" t="n"/>
      <c r="P54" s="18" t="n"/>
      <c r="Q54" s="18" t="n"/>
      <c r="R54" s="18" t="n"/>
      <c r="S54" s="22" t="n"/>
      <c r="T54" s="22" t="n"/>
    </row>
    <row r="55">
      <c r="A55" s="18" t="n"/>
      <c r="B55" s="18" t="n"/>
      <c r="C55" s="18" t="n"/>
      <c r="D55" s="18" t="n"/>
      <c r="E55" s="30" t="n"/>
      <c r="F55" s="30" t="n"/>
      <c r="G55" s="30" t="n"/>
      <c r="H55" s="22" t="n"/>
      <c r="I55" s="22" t="n"/>
      <c r="J55" s="22" t="n"/>
      <c r="K55" s="23" t="n"/>
      <c r="L55" s="22" t="n"/>
      <c r="N55" s="18" t="n"/>
      <c r="O55" s="30" t="n"/>
      <c r="P55" s="18" t="n"/>
      <c r="Q55" s="18" t="n"/>
      <c r="R55" s="18" t="n"/>
      <c r="S55" s="22" t="n"/>
      <c r="T55" s="22" t="n"/>
    </row>
    <row r="56">
      <c r="A56" s="18" t="n"/>
      <c r="B56" s="18" t="n"/>
      <c r="C56" s="18" t="n"/>
      <c r="D56" s="18" t="n"/>
      <c r="E56" s="30" t="n"/>
      <c r="F56" s="30" t="n"/>
      <c r="G56" s="30" t="n"/>
      <c r="H56" s="22" t="n"/>
      <c r="I56" s="22" t="n"/>
      <c r="J56" s="22" t="n"/>
      <c r="K56" s="23" t="n"/>
      <c r="L56" s="22" t="n"/>
      <c r="N56" s="18" t="n"/>
      <c r="O56" s="30" t="n"/>
      <c r="P56" s="18" t="n"/>
      <c r="Q56" s="18" t="n"/>
      <c r="R56" s="18" t="n"/>
      <c r="S56" s="22" t="n"/>
      <c r="T56" s="22" t="n"/>
    </row>
    <row r="57">
      <c r="A57" s="18" t="n"/>
      <c r="B57" s="18" t="n"/>
      <c r="C57" s="18" t="n"/>
      <c r="D57" s="18" t="n"/>
      <c r="E57" s="30" t="n"/>
      <c r="F57" s="30" t="n"/>
      <c r="G57" s="30" t="n"/>
      <c r="H57" s="22" t="n"/>
      <c r="I57" s="22" t="n"/>
      <c r="J57" s="22" t="n"/>
      <c r="K57" s="23" t="n"/>
      <c r="L57" s="22" t="n"/>
      <c r="N57" s="18" t="n"/>
      <c r="O57" s="30" t="n"/>
      <c r="P57" s="18" t="n"/>
      <c r="Q57" s="18" t="n"/>
      <c r="R57" s="18" t="n"/>
      <c r="S57" s="22" t="n"/>
      <c r="T57" s="22" t="n"/>
    </row>
    <row r="58">
      <c r="A58" s="18" t="n"/>
      <c r="B58" s="18" t="n"/>
      <c r="C58" s="18" t="n"/>
      <c r="D58" s="18" t="n"/>
      <c r="E58" s="30" t="n"/>
      <c r="F58" s="30" t="n"/>
      <c r="G58" s="30" t="n"/>
      <c r="H58" s="22" t="n"/>
      <c r="I58" s="22" t="n"/>
      <c r="J58" s="22" t="n"/>
      <c r="K58" s="23" t="n"/>
      <c r="L58" s="22" t="n"/>
      <c r="N58" s="18" t="n"/>
      <c r="O58" s="30" t="n"/>
      <c r="P58" s="18" t="n"/>
      <c r="Q58" s="18" t="n"/>
      <c r="R58" s="18" t="n"/>
      <c r="S58" s="22" t="n"/>
      <c r="T58" s="22" t="n"/>
    </row>
    <row r="59">
      <c r="A59" s="18" t="n"/>
      <c r="B59" s="18" t="n"/>
      <c r="C59" s="18" t="n"/>
      <c r="D59" s="18" t="n"/>
      <c r="E59" s="30" t="n"/>
      <c r="F59" s="30" t="n"/>
      <c r="G59" s="30" t="n"/>
      <c r="H59" s="22" t="n"/>
      <c r="I59" s="22" t="n"/>
      <c r="J59" s="22" t="n"/>
      <c r="K59" s="23" t="n"/>
      <c r="L59" s="22" t="n"/>
      <c r="N59" s="18" t="n"/>
      <c r="O59" s="30" t="n"/>
      <c r="P59" s="18" t="n"/>
      <c r="Q59" s="18" t="n"/>
      <c r="R59" s="18" t="n"/>
      <c r="S59" s="22" t="n"/>
      <c r="T59" s="22" t="n"/>
    </row>
    <row r="60">
      <c r="A60" s="18" t="n"/>
      <c r="B60" s="18" t="n"/>
      <c r="C60" s="18" t="n"/>
      <c r="D60" s="18" t="n"/>
      <c r="E60" s="30" t="n"/>
      <c r="F60" s="30" t="n"/>
      <c r="G60" s="30" t="n"/>
      <c r="H60" s="22" t="n"/>
      <c r="I60" s="22" t="n"/>
      <c r="J60" s="22" t="n"/>
      <c r="K60" s="23" t="n"/>
      <c r="L60" s="22" t="n"/>
      <c r="N60" s="18" t="n"/>
      <c r="O60" s="30" t="n"/>
      <c r="P60" s="18" t="n"/>
      <c r="Q60" s="18" t="n"/>
      <c r="R60" s="18" t="n"/>
      <c r="S60" s="22" t="n"/>
      <c r="T60" s="22" t="n"/>
    </row>
    <row r="61">
      <c r="A61" s="18" t="n"/>
      <c r="B61" s="18" t="n"/>
      <c r="C61" s="18" t="n"/>
      <c r="D61" s="18" t="n"/>
      <c r="E61" s="30" t="n"/>
      <c r="F61" s="30" t="n"/>
      <c r="G61" s="30" t="n"/>
      <c r="H61" s="22" t="n"/>
      <c r="I61" s="22" t="n"/>
      <c r="J61" s="22" t="n"/>
      <c r="K61" s="23" t="n"/>
      <c r="L61" s="22" t="n"/>
      <c r="N61" s="18" t="n"/>
      <c r="O61" s="30" t="n"/>
      <c r="P61" s="18" t="n"/>
      <c r="Q61" s="18" t="n"/>
      <c r="R61" s="18" t="n"/>
      <c r="S61" s="22" t="n"/>
      <c r="T61" s="22" t="n"/>
    </row>
    <row r="62">
      <c r="A62" s="18" t="n"/>
      <c r="B62" s="18" t="n"/>
      <c r="C62" s="18" t="n"/>
      <c r="D62" s="18" t="n"/>
      <c r="E62" s="30" t="n"/>
      <c r="F62" s="30" t="n"/>
      <c r="G62" s="30" t="n"/>
      <c r="H62" s="22" t="n"/>
      <c r="I62" s="22" t="n"/>
      <c r="J62" s="22" t="n"/>
      <c r="K62" s="23" t="n"/>
      <c r="L62" s="22" t="n"/>
      <c r="N62" s="18" t="n"/>
      <c r="O62" s="30" t="n"/>
      <c r="P62" s="18" t="n"/>
      <c r="Q62" s="18" t="n"/>
      <c r="R62" s="18" t="n"/>
      <c r="S62" s="22" t="n"/>
      <c r="T62" s="22" t="n"/>
    </row>
    <row r="63">
      <c r="A63" s="18" t="n"/>
      <c r="B63" s="18" t="n"/>
      <c r="C63" s="18" t="n"/>
      <c r="D63" s="18" t="n"/>
      <c r="E63" s="30" t="n"/>
      <c r="F63" s="30" t="n"/>
      <c r="G63" s="30" t="n"/>
      <c r="H63" s="22" t="n"/>
      <c r="I63" s="22" t="n"/>
      <c r="J63" s="22" t="n"/>
      <c r="K63" s="23" t="n"/>
      <c r="L63" s="22" t="n"/>
      <c r="N63" s="18" t="n"/>
      <c r="O63" s="30" t="n"/>
      <c r="P63" s="18" t="n"/>
      <c r="Q63" s="18" t="n"/>
      <c r="R63" s="18" t="n"/>
      <c r="S63" s="22" t="n"/>
      <c r="T63" s="22" t="n"/>
    </row>
    <row r="64">
      <c r="A64" s="18" t="n"/>
      <c r="B64" s="18" t="n"/>
      <c r="C64" s="18" t="n"/>
      <c r="D64" s="18" t="n"/>
      <c r="E64" s="30" t="n"/>
      <c r="F64" s="30" t="n"/>
      <c r="G64" s="30" t="n"/>
      <c r="H64" s="22" t="n"/>
      <c r="I64" s="22" t="n"/>
      <c r="J64" s="22" t="n"/>
      <c r="K64" s="23" t="n"/>
      <c r="L64" s="22" t="n"/>
      <c r="N64" s="18" t="n"/>
      <c r="O64" s="30" t="n"/>
      <c r="P64" s="18" t="n"/>
      <c r="Q64" s="18" t="n"/>
      <c r="R64" s="18" t="n"/>
      <c r="S64" s="22" t="n"/>
      <c r="T64" s="22" t="n"/>
    </row>
    <row r="65">
      <c r="A65" s="18" t="n"/>
      <c r="B65" s="18" t="n"/>
      <c r="C65" s="18" t="n"/>
      <c r="D65" s="18" t="n"/>
      <c r="E65" s="30" t="n"/>
      <c r="F65" s="30" t="n"/>
      <c r="G65" s="30" t="n"/>
      <c r="H65" s="22" t="n"/>
      <c r="I65" s="22" t="n"/>
      <c r="J65" s="22" t="n"/>
      <c r="K65" s="23" t="n"/>
      <c r="L65" s="22" t="n"/>
    </row>
    <row r="66">
      <c r="A66" s="18" t="n"/>
      <c r="B66" s="18" t="n"/>
      <c r="C66" s="18" t="n"/>
      <c r="D66" s="18" t="n"/>
      <c r="E66" s="30" t="n"/>
      <c r="F66" s="30" t="n"/>
      <c r="G66" s="30" t="n"/>
      <c r="H66" s="22" t="n"/>
      <c r="I66" s="22" t="n"/>
      <c r="J66" s="22" t="n"/>
      <c r="K66" s="23" t="n"/>
      <c r="L66" s="22" t="n"/>
    </row>
    <row r="67">
      <c r="A67" s="18" t="n"/>
      <c r="B67" s="18" t="n"/>
      <c r="C67" s="18" t="n"/>
      <c r="D67" s="18" t="n"/>
      <c r="E67" s="30" t="n"/>
      <c r="F67" s="30" t="n"/>
      <c r="G67" s="30" t="n"/>
      <c r="H67" s="22" t="n"/>
      <c r="I67" s="22" t="n"/>
      <c r="J67" s="22" t="n"/>
      <c r="K67" s="23" t="n"/>
      <c r="L67" s="22" t="n"/>
    </row>
  </sheetData>
  <mergeCells count="7">
    <mergeCell ref="G1:L1"/>
    <mergeCell ref="N1:T1"/>
    <mergeCell ref="E1:F1"/>
    <mergeCell ref="A46:L46"/>
    <mergeCell ref="A3:L3"/>
    <mergeCell ref="N3:T3"/>
    <mergeCell ref="B1:C1"/>
  </mergeCells>
  <conditionalFormatting sqref="A3">
    <cfRule type="expression" priority="1" dxfId="2">
      <formula>ISNUMBER(SEARCH("※",A3))</formula>
    </cfRule>
  </conditionalFormatting>
  <conditionalFormatting sqref="N3">
    <cfRule type="expression" priority="2" dxfId="2">
      <formula>ISNUMBER(SEARCH("※",N3))</formula>
    </cfRule>
  </conditionalFormatting>
  <conditionalFormatting sqref="A46">
    <cfRule type="expression" priority="3" dxfId="2">
      <formula>ISNUMBER(SEARCH("※",A46))</formula>
    </cfRule>
  </conditionalFormatting>
  <dataValidations count="1">
    <dataValidation sqref="B1" showDropDown="0" showInputMessage="0" showErrorMessage="1" allowBlank="1" errorTitle="不在名单里" error="先去【资料】把它加上，或者选一个已有的。" type="list" errorStyle="warning">
      <formula1>=客户名单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75623"/>
    <outlinePr summaryBelow="1" summaryRight="1"/>
    <pageSetUpPr/>
  </sheetPr>
  <dimension ref="A1:T1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15" customWidth="1" min="4" max="4"/>
    <col width="34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  <col width="10" customWidth="1" min="11" max="11"/>
    <col width="13" customWidth="1" min="12" max="12"/>
    <col width="12" customWidth="1" min="13" max="13"/>
    <col width="14" customWidth="1" min="14" max="14"/>
    <col width="10" customWidth="1" min="15" max="15"/>
    <col width="13" customWidth="1" min="16" max="16"/>
    <col width="8" customWidth="1" min="17" max="17"/>
    <col width="12" customWidth="1" min="18" max="18"/>
  </cols>
  <sheetData>
    <row r="1" ht="30" customHeight="1">
      <c r="A1" s="9" t="inlineStr">
        <is>
          <t>查询表（旧版·竖着排，保留备用）· 输入客户姓名，一次看全他的典当和资金往来</t>
        </is>
      </c>
    </row>
    <row r="2" ht="22" customHeight="1">
      <c r="A2" s="10" t="inlineStr">
        <is>
          <t>最下面那块「资金收付流水」是从《A061_资金台账.xlsx》取的，查的时候两个文件要同时打开（Excel 读不了关着的工作簿，这是规矩不是设置问题）。</t>
        </is>
      </c>
    </row>
    <row r="3">
      <c r="A3" s="38" t="inlineStr">
        <is>
          <t>客户姓名 →</t>
        </is>
      </c>
      <c r="B3" s="33" t="inlineStr">
        <is>
          <t>严为志</t>
        </is>
      </c>
      <c r="C3" s="3" t="n"/>
      <c r="D3" s="32" t="inlineStr">
        <is>
          <t>身份证号</t>
        </is>
      </c>
      <c r="E3" s="18">
        <f>IF($B$3="","",IFERROR(VLOOKUP($B$3,表2客户典当登记!$E$4:$F$403,2,0),""))</f>
        <v/>
      </c>
      <c r="F3" s="3" t="n"/>
      <c r="G3" s="32" t="inlineStr">
        <is>
          <t>客户电话</t>
        </is>
      </c>
      <c r="H3" s="18">
        <f>IF($B$3="","",IFERROR(VLOOKUP($B$3,表2客户典当登记!$E$4:$G$403,3,0),IFERROR(VLOOKUP($B$3,表1不动产登记!$D$4:$E$123,2,0),"")))</f>
        <v/>
      </c>
      <c r="I3" s="3" t="n"/>
    </row>
    <row r="5">
      <c r="A5" s="35" t="inlineStr">
        <is>
          <t>典当笔数</t>
        </is>
      </c>
      <c r="B5" s="16">
        <f>COUNTIF(表2客户典当登记!$E$4:$E$403,$B$3)</f>
        <v/>
      </c>
      <c r="C5" s="35" t="inlineStr">
        <is>
          <t>典当金额</t>
        </is>
      </c>
      <c r="D5" s="29">
        <f>ROUND(SUMIF(表2客户典当登记!$E$4:$E$403,$B$3,表2客户典当登记!$L$4:$L$403),2)</f>
        <v/>
      </c>
      <c r="E5" s="35" t="inlineStr">
        <is>
          <t>已还本金</t>
        </is>
      </c>
      <c r="F5" s="29">
        <f>ROUND(SUMIF(表2客户典当登记!$E$4:$E$403,$B$3,表2客户典当登记!$M$4:$M$403),2)</f>
        <v/>
      </c>
      <c r="G5" s="35" t="inlineStr">
        <is>
          <t>当前在当</t>
        </is>
      </c>
      <c r="H5" s="29">
        <f>ROUND(SUMIF(表2客户典当登记!$E$4:$E$403,$B$3,表2客户典当登记!$N$4:$N$403),2)</f>
        <v/>
      </c>
      <c r="I5" s="35" t="inlineStr">
        <is>
          <t>应收利息</t>
        </is>
      </c>
      <c r="J5" s="29">
        <f>ROUND(SUMIF(表2客户典当登记!$E$4:$E$403,$B$3,表2客户典当登记!$P$4:$P$403),2)</f>
        <v/>
      </c>
      <c r="K5" s="35" t="inlineStr">
        <is>
          <t>不动产笔数</t>
        </is>
      </c>
      <c r="L5" s="16">
        <f>COUNTIF(表1不动产登记!$D$4:$D$123,$B$3)</f>
        <v/>
      </c>
      <c r="M5" s="35" t="inlineStr">
        <is>
          <t>不动产金额</t>
        </is>
      </c>
      <c r="N5" s="29">
        <f>ROUND(SUMIF(表1不动产登记!$D$4:$D$123,$B$3,表1不动产登记!$J$4:$J$123),2)</f>
        <v/>
      </c>
      <c r="O5" s="35" t="inlineStr">
        <is>
          <t>资金·收到</t>
        </is>
      </c>
      <c r="P5" s="29">
        <f>ROUND(SUMIF([1]数据录入!$I$19:$I$5078,$B$3,[1]数据录入!$F$19:$F$5078),2)</f>
        <v/>
      </c>
      <c r="Q5" s="35" t="inlineStr">
        <is>
          <t>资金·付出</t>
        </is>
      </c>
      <c r="R5" s="29">
        <f>ROUND(SUMIF([1]数据录入!$I$19:$I$5078,$B$3,[1]数据录入!$G$19:$G$5078),2)</f>
        <v/>
      </c>
    </row>
    <row r="8" ht="22" customHeight="1">
      <c r="A8" s="39" t="inlineStr">
        <is>
          <t>一、典当记录（来自【表2客户典当登记】·所有机构）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3" t="n"/>
      <c r="T8" s="40">
        <f>IF(COUNTIF(表2客户典当登记!$E$4:$E$403,$B$3)&gt;40,"※记录超过预留的 40 行，会显示 #SPILL!，告诉我加行","")</f>
        <v/>
      </c>
    </row>
    <row r="9" ht="32" customHeight="1">
      <c r="A9" s="37" t="inlineStr">
        <is>
          <t>序号</t>
        </is>
      </c>
      <c r="B9" s="37" t="inlineStr">
        <is>
          <t>抵押机构 ★</t>
        </is>
      </c>
      <c r="C9" s="37" t="inlineStr">
        <is>
          <t>抵押物品 ★</t>
        </is>
      </c>
      <c r="D9" s="37" t="inlineStr">
        <is>
          <t>状态 ★</t>
        </is>
      </c>
      <c r="E9" s="37" t="inlineStr">
        <is>
          <t>客户姓名 ★</t>
        </is>
      </c>
      <c r="F9" s="37" t="inlineStr">
        <is>
          <t>身份证号</t>
        </is>
      </c>
      <c r="G9" s="37" t="inlineStr">
        <is>
          <t>客户电话</t>
        </is>
      </c>
      <c r="H9" s="37" t="inlineStr">
        <is>
          <t>当票号</t>
        </is>
      </c>
      <c r="I9" s="37" t="inlineStr">
        <is>
          <t>当票日期</t>
        </is>
      </c>
      <c r="J9" s="37" t="inlineStr">
        <is>
          <t>当票到期日</t>
        </is>
      </c>
      <c r="K9" s="37" t="inlineStr">
        <is>
          <t>出款日期</t>
        </is>
      </c>
      <c r="L9" s="37" t="inlineStr">
        <is>
          <t>典当金额 ★</t>
        </is>
      </c>
      <c r="M9" s="37" t="inlineStr">
        <is>
          <t>已还本金</t>
        </is>
      </c>
      <c r="N9" s="37" t="inlineStr">
        <is>
          <t>当前在当</t>
        </is>
      </c>
      <c r="O9" s="37" t="inlineStr">
        <is>
          <t>典当系统费率</t>
        </is>
      </c>
      <c r="P9" s="37" t="inlineStr">
        <is>
          <t>应收利息</t>
        </is>
      </c>
      <c r="Q9" s="37" t="inlineStr">
        <is>
          <t>利息日</t>
        </is>
      </c>
      <c r="R9" s="37" t="inlineStr">
        <is>
          <t>应付利息日</t>
        </is>
      </c>
    </row>
    <row r="10">
      <c r="A10" s="18" cm="1">
        <f t="array" ref="A10:R49">_xlfn._xlws.FILTER(IF(表2客户典当登记!$A$4:$R$403="","",表2客户典当登记!$A$4:$R$403),表2客户典当登记!$E$4:$E$403=$B$3,"这个客户在表2里没有典当记录")</f>
        <v/>
      </c>
      <c r="B10" s="18" t="n"/>
      <c r="C10" s="18" t="n"/>
      <c r="D10" s="18" t="n"/>
      <c r="E10" s="18" t="n"/>
      <c r="F10" s="18" t="n"/>
      <c r="G10" s="18" t="n"/>
      <c r="H10" s="18" t="n"/>
      <c r="I10" s="30" t="n"/>
      <c r="J10" s="30" t="n"/>
      <c r="K10" s="30" t="n"/>
      <c r="L10" s="22" t="n"/>
      <c r="M10" s="22" t="n"/>
      <c r="N10" s="22" t="n"/>
      <c r="O10" s="31" t="n"/>
      <c r="P10" s="22" t="n"/>
      <c r="Q10" s="18" t="n"/>
      <c r="R10" s="30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30" t="n"/>
      <c r="J11" s="30" t="n"/>
      <c r="K11" s="30" t="n"/>
      <c r="L11" s="22" t="n"/>
      <c r="M11" s="22" t="n"/>
      <c r="N11" s="22" t="n"/>
      <c r="O11" s="31" t="n"/>
      <c r="P11" s="22" t="n"/>
      <c r="Q11" s="18" t="n"/>
      <c r="R11" s="30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30" t="n"/>
      <c r="J12" s="30" t="n"/>
      <c r="K12" s="30" t="n"/>
      <c r="L12" s="22" t="n"/>
      <c r="M12" s="22" t="n"/>
      <c r="N12" s="22" t="n"/>
      <c r="O12" s="31" t="n"/>
      <c r="P12" s="22" t="n"/>
      <c r="Q12" s="18" t="n"/>
      <c r="R12" s="30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30" t="n"/>
      <c r="J13" s="30" t="n"/>
      <c r="K13" s="30" t="n"/>
      <c r="L13" s="22" t="n"/>
      <c r="M13" s="22" t="n"/>
      <c r="N13" s="22" t="n"/>
      <c r="O13" s="31" t="n"/>
      <c r="P13" s="22" t="n"/>
      <c r="Q13" s="18" t="n"/>
      <c r="R13" s="30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30" t="n"/>
      <c r="J14" s="30" t="n"/>
      <c r="K14" s="30" t="n"/>
      <c r="L14" s="22" t="n"/>
      <c r="M14" s="22" t="n"/>
      <c r="N14" s="22" t="n"/>
      <c r="O14" s="31" t="n"/>
      <c r="P14" s="22" t="n"/>
      <c r="Q14" s="18" t="n"/>
      <c r="R14" s="30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30" t="n"/>
      <c r="J15" s="30" t="n"/>
      <c r="K15" s="30" t="n"/>
      <c r="L15" s="22" t="n"/>
      <c r="M15" s="22" t="n"/>
      <c r="N15" s="22" t="n"/>
      <c r="O15" s="31" t="n"/>
      <c r="P15" s="22" t="n"/>
      <c r="Q15" s="18" t="n"/>
      <c r="R15" s="30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30" t="n"/>
      <c r="J16" s="30" t="n"/>
      <c r="K16" s="30" t="n"/>
      <c r="L16" s="22" t="n"/>
      <c r="M16" s="22" t="n"/>
      <c r="N16" s="22" t="n"/>
      <c r="O16" s="31" t="n"/>
      <c r="P16" s="22" t="n"/>
      <c r="Q16" s="18" t="n"/>
      <c r="R16" s="30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30" t="n"/>
      <c r="J17" s="30" t="n"/>
      <c r="K17" s="30" t="n"/>
      <c r="L17" s="22" t="n"/>
      <c r="M17" s="22" t="n"/>
      <c r="N17" s="22" t="n"/>
      <c r="O17" s="31" t="n"/>
      <c r="P17" s="22" t="n"/>
      <c r="Q17" s="18" t="n"/>
      <c r="R17" s="30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30" t="n"/>
      <c r="J18" s="30" t="n"/>
      <c r="K18" s="30" t="n"/>
      <c r="L18" s="22" t="n"/>
      <c r="M18" s="22" t="n"/>
      <c r="N18" s="22" t="n"/>
      <c r="O18" s="31" t="n"/>
      <c r="P18" s="22" t="n"/>
      <c r="Q18" s="18" t="n"/>
      <c r="R18" s="30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30" t="n"/>
      <c r="J19" s="30" t="n"/>
      <c r="K19" s="30" t="n"/>
      <c r="L19" s="22" t="n"/>
      <c r="M19" s="22" t="n"/>
      <c r="N19" s="22" t="n"/>
      <c r="O19" s="31" t="n"/>
      <c r="P19" s="22" t="n"/>
      <c r="Q19" s="18" t="n"/>
      <c r="R19" s="30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30" t="n"/>
      <c r="J20" s="30" t="n"/>
      <c r="K20" s="30" t="n"/>
      <c r="L20" s="22" t="n"/>
      <c r="M20" s="22" t="n"/>
      <c r="N20" s="22" t="n"/>
      <c r="O20" s="31" t="n"/>
      <c r="P20" s="22" t="n"/>
      <c r="Q20" s="18" t="n"/>
      <c r="R20" s="30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30" t="n"/>
      <c r="J21" s="30" t="n"/>
      <c r="K21" s="30" t="n"/>
      <c r="L21" s="22" t="n"/>
      <c r="M21" s="22" t="n"/>
      <c r="N21" s="22" t="n"/>
      <c r="O21" s="31" t="n"/>
      <c r="P21" s="22" t="n"/>
      <c r="Q21" s="18" t="n"/>
      <c r="R21" s="30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30" t="n"/>
      <c r="J22" s="30" t="n"/>
      <c r="K22" s="30" t="n"/>
      <c r="L22" s="22" t="n"/>
      <c r="M22" s="22" t="n"/>
      <c r="N22" s="22" t="n"/>
      <c r="O22" s="31" t="n"/>
      <c r="P22" s="22" t="n"/>
      <c r="Q22" s="18" t="n"/>
      <c r="R22" s="30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30" t="n"/>
      <c r="J23" s="30" t="n"/>
      <c r="K23" s="30" t="n"/>
      <c r="L23" s="22" t="n"/>
      <c r="M23" s="22" t="n"/>
      <c r="N23" s="22" t="n"/>
      <c r="O23" s="31" t="n"/>
      <c r="P23" s="22" t="n"/>
      <c r="Q23" s="18" t="n"/>
      <c r="R23" s="30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30" t="n"/>
      <c r="J24" s="30" t="n"/>
      <c r="K24" s="30" t="n"/>
      <c r="L24" s="22" t="n"/>
      <c r="M24" s="22" t="n"/>
      <c r="N24" s="22" t="n"/>
      <c r="O24" s="31" t="n"/>
      <c r="P24" s="22" t="n"/>
      <c r="Q24" s="18" t="n"/>
      <c r="R24" s="30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30" t="n"/>
      <c r="J25" s="30" t="n"/>
      <c r="K25" s="30" t="n"/>
      <c r="L25" s="22" t="n"/>
      <c r="M25" s="22" t="n"/>
      <c r="N25" s="22" t="n"/>
      <c r="O25" s="31" t="n"/>
      <c r="P25" s="22" t="n"/>
      <c r="Q25" s="18" t="n"/>
      <c r="R25" s="30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30" t="n"/>
      <c r="J26" s="30" t="n"/>
      <c r="K26" s="30" t="n"/>
      <c r="L26" s="22" t="n"/>
      <c r="M26" s="22" t="n"/>
      <c r="N26" s="22" t="n"/>
      <c r="O26" s="31" t="n"/>
      <c r="P26" s="22" t="n"/>
      <c r="Q26" s="18" t="n"/>
      <c r="R26" s="30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30" t="n"/>
      <c r="J27" s="30" t="n"/>
      <c r="K27" s="30" t="n"/>
      <c r="L27" s="22" t="n"/>
      <c r="M27" s="22" t="n"/>
      <c r="N27" s="22" t="n"/>
      <c r="O27" s="31" t="n"/>
      <c r="P27" s="22" t="n"/>
      <c r="Q27" s="18" t="n"/>
      <c r="R27" s="30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30" t="n"/>
      <c r="J28" s="30" t="n"/>
      <c r="K28" s="30" t="n"/>
      <c r="L28" s="22" t="n"/>
      <c r="M28" s="22" t="n"/>
      <c r="N28" s="22" t="n"/>
      <c r="O28" s="31" t="n"/>
      <c r="P28" s="22" t="n"/>
      <c r="Q28" s="18" t="n"/>
      <c r="R28" s="30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30" t="n"/>
      <c r="J29" s="30" t="n"/>
      <c r="K29" s="30" t="n"/>
      <c r="L29" s="22" t="n"/>
      <c r="M29" s="22" t="n"/>
      <c r="N29" s="22" t="n"/>
      <c r="O29" s="31" t="n"/>
      <c r="P29" s="22" t="n"/>
      <c r="Q29" s="18" t="n"/>
      <c r="R29" s="30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30" t="n"/>
      <c r="J30" s="30" t="n"/>
      <c r="K30" s="30" t="n"/>
      <c r="L30" s="22" t="n"/>
      <c r="M30" s="22" t="n"/>
      <c r="N30" s="22" t="n"/>
      <c r="O30" s="31" t="n"/>
      <c r="P30" s="22" t="n"/>
      <c r="Q30" s="18" t="n"/>
      <c r="R30" s="30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30" t="n"/>
      <c r="J31" s="30" t="n"/>
      <c r="K31" s="30" t="n"/>
      <c r="L31" s="22" t="n"/>
      <c r="M31" s="22" t="n"/>
      <c r="N31" s="22" t="n"/>
      <c r="O31" s="31" t="n"/>
      <c r="P31" s="22" t="n"/>
      <c r="Q31" s="18" t="n"/>
      <c r="R31" s="30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30" t="n"/>
      <c r="J32" s="30" t="n"/>
      <c r="K32" s="30" t="n"/>
      <c r="L32" s="22" t="n"/>
      <c r="M32" s="22" t="n"/>
      <c r="N32" s="22" t="n"/>
      <c r="O32" s="31" t="n"/>
      <c r="P32" s="22" t="n"/>
      <c r="Q32" s="18" t="n"/>
      <c r="R32" s="30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30" t="n"/>
      <c r="J33" s="30" t="n"/>
      <c r="K33" s="30" t="n"/>
      <c r="L33" s="22" t="n"/>
      <c r="M33" s="22" t="n"/>
      <c r="N33" s="22" t="n"/>
      <c r="O33" s="31" t="n"/>
      <c r="P33" s="22" t="n"/>
      <c r="Q33" s="18" t="n"/>
      <c r="R33" s="30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30" t="n"/>
      <c r="J34" s="30" t="n"/>
      <c r="K34" s="30" t="n"/>
      <c r="L34" s="22" t="n"/>
      <c r="M34" s="22" t="n"/>
      <c r="N34" s="22" t="n"/>
      <c r="O34" s="31" t="n"/>
      <c r="P34" s="22" t="n"/>
      <c r="Q34" s="18" t="n"/>
      <c r="R34" s="30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30" t="n"/>
      <c r="J35" s="30" t="n"/>
      <c r="K35" s="30" t="n"/>
      <c r="L35" s="22" t="n"/>
      <c r="M35" s="22" t="n"/>
      <c r="N35" s="22" t="n"/>
      <c r="O35" s="31" t="n"/>
      <c r="P35" s="22" t="n"/>
      <c r="Q35" s="18" t="n"/>
      <c r="R35" s="30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30" t="n"/>
      <c r="J36" s="30" t="n"/>
      <c r="K36" s="30" t="n"/>
      <c r="L36" s="22" t="n"/>
      <c r="M36" s="22" t="n"/>
      <c r="N36" s="22" t="n"/>
      <c r="O36" s="31" t="n"/>
      <c r="P36" s="22" t="n"/>
      <c r="Q36" s="18" t="n"/>
      <c r="R36" s="30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30" t="n"/>
      <c r="J37" s="30" t="n"/>
      <c r="K37" s="30" t="n"/>
      <c r="L37" s="22" t="n"/>
      <c r="M37" s="22" t="n"/>
      <c r="N37" s="22" t="n"/>
      <c r="O37" s="31" t="n"/>
      <c r="P37" s="22" t="n"/>
      <c r="Q37" s="18" t="n"/>
      <c r="R37" s="30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30" t="n"/>
      <c r="J38" s="30" t="n"/>
      <c r="K38" s="30" t="n"/>
      <c r="L38" s="22" t="n"/>
      <c r="M38" s="22" t="n"/>
      <c r="N38" s="22" t="n"/>
      <c r="O38" s="31" t="n"/>
      <c r="P38" s="22" t="n"/>
      <c r="Q38" s="18" t="n"/>
      <c r="R38" s="30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30" t="n"/>
      <c r="J39" s="30" t="n"/>
      <c r="K39" s="30" t="n"/>
      <c r="L39" s="22" t="n"/>
      <c r="M39" s="22" t="n"/>
      <c r="N39" s="22" t="n"/>
      <c r="O39" s="31" t="n"/>
      <c r="P39" s="22" t="n"/>
      <c r="Q39" s="18" t="n"/>
      <c r="R39" s="30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30" t="n"/>
      <c r="J40" s="30" t="n"/>
      <c r="K40" s="30" t="n"/>
      <c r="L40" s="22" t="n"/>
      <c r="M40" s="22" t="n"/>
      <c r="N40" s="22" t="n"/>
      <c r="O40" s="31" t="n"/>
      <c r="P40" s="22" t="n"/>
      <c r="Q40" s="18" t="n"/>
      <c r="R40" s="30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30" t="n"/>
      <c r="J41" s="30" t="n"/>
      <c r="K41" s="30" t="n"/>
      <c r="L41" s="22" t="n"/>
      <c r="M41" s="22" t="n"/>
      <c r="N41" s="22" t="n"/>
      <c r="O41" s="31" t="n"/>
      <c r="P41" s="22" t="n"/>
      <c r="Q41" s="18" t="n"/>
      <c r="R41" s="30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30" t="n"/>
      <c r="J42" s="30" t="n"/>
      <c r="K42" s="30" t="n"/>
      <c r="L42" s="22" t="n"/>
      <c r="M42" s="22" t="n"/>
      <c r="N42" s="22" t="n"/>
      <c r="O42" s="31" t="n"/>
      <c r="P42" s="22" t="n"/>
      <c r="Q42" s="18" t="n"/>
      <c r="R42" s="30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30" t="n"/>
      <c r="J43" s="30" t="n"/>
      <c r="K43" s="30" t="n"/>
      <c r="L43" s="22" t="n"/>
      <c r="M43" s="22" t="n"/>
      <c r="N43" s="22" t="n"/>
      <c r="O43" s="31" t="n"/>
      <c r="P43" s="22" t="n"/>
      <c r="Q43" s="18" t="n"/>
      <c r="R43" s="30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30" t="n"/>
      <c r="J44" s="30" t="n"/>
      <c r="K44" s="30" t="n"/>
      <c r="L44" s="22" t="n"/>
      <c r="M44" s="22" t="n"/>
      <c r="N44" s="22" t="n"/>
      <c r="O44" s="31" t="n"/>
      <c r="P44" s="22" t="n"/>
      <c r="Q44" s="18" t="n"/>
      <c r="R44" s="30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30" t="n"/>
      <c r="J45" s="30" t="n"/>
      <c r="K45" s="30" t="n"/>
      <c r="L45" s="22" t="n"/>
      <c r="M45" s="22" t="n"/>
      <c r="N45" s="22" t="n"/>
      <c r="O45" s="31" t="n"/>
      <c r="P45" s="22" t="n"/>
      <c r="Q45" s="18" t="n"/>
      <c r="R45" s="30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30" t="n"/>
      <c r="J46" s="30" t="n"/>
      <c r="K46" s="30" t="n"/>
      <c r="L46" s="22" t="n"/>
      <c r="M46" s="22" t="n"/>
      <c r="N46" s="22" t="n"/>
      <c r="O46" s="31" t="n"/>
      <c r="P46" s="22" t="n"/>
      <c r="Q46" s="18" t="n"/>
      <c r="R46" s="30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30" t="n"/>
      <c r="J47" s="30" t="n"/>
      <c r="K47" s="30" t="n"/>
      <c r="L47" s="22" t="n"/>
      <c r="M47" s="22" t="n"/>
      <c r="N47" s="22" t="n"/>
      <c r="O47" s="31" t="n"/>
      <c r="P47" s="22" t="n"/>
      <c r="Q47" s="18" t="n"/>
      <c r="R47" s="30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30" t="n"/>
      <c r="J48" s="30" t="n"/>
      <c r="K48" s="30" t="n"/>
      <c r="L48" s="22" t="n"/>
      <c r="M48" s="22" t="n"/>
      <c r="N48" s="22" t="n"/>
      <c r="O48" s="31" t="n"/>
      <c r="P48" s="22" t="n"/>
      <c r="Q48" s="18" t="n"/>
      <c r="R48" s="30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30" t="n"/>
      <c r="J49" s="30" t="n"/>
      <c r="K49" s="30" t="n"/>
      <c r="L49" s="22" t="n"/>
      <c r="M49" s="22" t="n"/>
      <c r="N49" s="22" t="n"/>
      <c r="O49" s="31" t="n"/>
      <c r="P49" s="22" t="n"/>
      <c r="Q49" s="18" t="n"/>
      <c r="R49" s="30" t="n"/>
    </row>
    <row r="52" ht="22" customHeight="1">
      <c r="A52" s="39" t="inlineStr">
        <is>
          <t>二、不动产记录（来自【表1不动产登记】·就是上面金辉典当那几笔的收款明细，别跟上面相加）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3" t="n"/>
      <c r="O52" s="40">
        <f>IF(COUNTIF(表1不动产登记!$D$4:$D$123,$B$3)&gt;20,"※记录超过预留的 20 行，会显示 #SPILL!，告诉我加行","")</f>
        <v/>
      </c>
    </row>
    <row r="53" ht="32" customHeight="1">
      <c r="A53" s="37" t="inlineStr">
        <is>
          <t>序号</t>
        </is>
      </c>
      <c r="B53" s="37" t="inlineStr">
        <is>
          <t>抵押物品 ★</t>
        </is>
      </c>
      <c r="C53" s="37" t="inlineStr">
        <is>
          <t>状态 ★</t>
        </is>
      </c>
      <c r="D53" s="37" t="inlineStr">
        <is>
          <t>客户姓名 ★</t>
        </is>
      </c>
      <c r="E53" s="37" t="inlineStr">
        <is>
          <t>客户电话</t>
        </is>
      </c>
      <c r="F53" s="37" t="inlineStr">
        <is>
          <t>当票号</t>
        </is>
      </c>
      <c r="G53" s="37" t="inlineStr">
        <is>
          <t>当票日期</t>
        </is>
      </c>
      <c r="H53" s="37" t="inlineStr">
        <is>
          <t>当票到期日</t>
        </is>
      </c>
      <c r="I53" s="37" t="inlineStr">
        <is>
          <t>出款日期</t>
        </is>
      </c>
      <c r="J53" s="37" t="inlineStr">
        <is>
          <t>典当金额 ★</t>
        </is>
      </c>
      <c r="K53" s="37" t="inlineStr">
        <is>
          <t>典当系统费率</t>
        </is>
      </c>
      <c r="L53" s="37" t="inlineStr">
        <is>
          <t>应收金额(利息)</t>
        </is>
      </c>
      <c r="M53" s="37" t="inlineStr">
        <is>
          <t>开票金额</t>
        </is>
      </c>
    </row>
    <row r="54">
      <c r="A54" s="18" cm="1">
        <f t="array" ref="A54:M73">_xlfn._xlws.FILTER(IF(表1不动产登记!$A$4:$M$123="","",表1不动产登记!$A$4:$M$123),表1不动产登记!$D$4:$D$123=$B$3,"这个客户在表1里没有不动产记录")</f>
        <v/>
      </c>
      <c r="B54" s="18" t="n"/>
      <c r="C54" s="18" t="n"/>
      <c r="D54" s="18" t="n"/>
      <c r="E54" s="18" t="n"/>
      <c r="F54" s="18" t="n"/>
      <c r="G54" s="30" t="n"/>
      <c r="H54" s="30" t="n"/>
      <c r="I54" s="30" t="n"/>
      <c r="J54" s="22" t="n"/>
      <c r="K54" s="31" t="n"/>
      <c r="L54" s="22" t="n"/>
      <c r="M54" s="22" t="n"/>
    </row>
    <row r="55">
      <c r="A55" s="18" t="n"/>
      <c r="B55" s="18" t="n"/>
      <c r="C55" s="18" t="n"/>
      <c r="D55" s="18" t="n"/>
      <c r="E55" s="18" t="n"/>
      <c r="F55" s="18" t="n"/>
      <c r="G55" s="30" t="n"/>
      <c r="H55" s="30" t="n"/>
      <c r="I55" s="30" t="n"/>
      <c r="J55" s="22" t="n"/>
      <c r="K55" s="31" t="n"/>
      <c r="L55" s="22" t="n"/>
      <c r="M55" s="22" t="n"/>
    </row>
    <row r="56">
      <c r="A56" s="18" t="n"/>
      <c r="B56" s="18" t="n"/>
      <c r="C56" s="18" t="n"/>
      <c r="D56" s="18" t="n"/>
      <c r="E56" s="18" t="n"/>
      <c r="F56" s="18" t="n"/>
      <c r="G56" s="30" t="n"/>
      <c r="H56" s="30" t="n"/>
      <c r="I56" s="30" t="n"/>
      <c r="J56" s="22" t="n"/>
      <c r="K56" s="31" t="n"/>
      <c r="L56" s="22" t="n"/>
      <c r="M56" s="22" t="n"/>
    </row>
    <row r="57">
      <c r="A57" s="18" t="n"/>
      <c r="B57" s="18" t="n"/>
      <c r="C57" s="18" t="n"/>
      <c r="D57" s="18" t="n"/>
      <c r="E57" s="18" t="n"/>
      <c r="F57" s="18" t="n"/>
      <c r="G57" s="30" t="n"/>
      <c r="H57" s="30" t="n"/>
      <c r="I57" s="30" t="n"/>
      <c r="J57" s="22" t="n"/>
      <c r="K57" s="31" t="n"/>
      <c r="L57" s="22" t="n"/>
      <c r="M57" s="22" t="n"/>
    </row>
    <row r="58">
      <c r="A58" s="18" t="n"/>
      <c r="B58" s="18" t="n"/>
      <c r="C58" s="18" t="n"/>
      <c r="D58" s="18" t="n"/>
      <c r="E58" s="18" t="n"/>
      <c r="F58" s="18" t="n"/>
      <c r="G58" s="30" t="n"/>
      <c r="H58" s="30" t="n"/>
      <c r="I58" s="30" t="n"/>
      <c r="J58" s="22" t="n"/>
      <c r="K58" s="31" t="n"/>
      <c r="L58" s="22" t="n"/>
      <c r="M58" s="22" t="n"/>
    </row>
    <row r="59">
      <c r="A59" s="18" t="n"/>
      <c r="B59" s="18" t="n"/>
      <c r="C59" s="18" t="n"/>
      <c r="D59" s="18" t="n"/>
      <c r="E59" s="18" t="n"/>
      <c r="F59" s="18" t="n"/>
      <c r="G59" s="30" t="n"/>
      <c r="H59" s="30" t="n"/>
      <c r="I59" s="30" t="n"/>
      <c r="J59" s="22" t="n"/>
      <c r="K59" s="31" t="n"/>
      <c r="L59" s="22" t="n"/>
      <c r="M59" s="22" t="n"/>
    </row>
    <row r="60">
      <c r="A60" s="18" t="n"/>
      <c r="B60" s="18" t="n"/>
      <c r="C60" s="18" t="n"/>
      <c r="D60" s="18" t="n"/>
      <c r="E60" s="18" t="n"/>
      <c r="F60" s="18" t="n"/>
      <c r="G60" s="30" t="n"/>
      <c r="H60" s="30" t="n"/>
      <c r="I60" s="30" t="n"/>
      <c r="J60" s="22" t="n"/>
      <c r="K60" s="31" t="n"/>
      <c r="L60" s="22" t="n"/>
      <c r="M60" s="22" t="n"/>
    </row>
    <row r="61">
      <c r="A61" s="18" t="n"/>
      <c r="B61" s="18" t="n"/>
      <c r="C61" s="18" t="n"/>
      <c r="D61" s="18" t="n"/>
      <c r="E61" s="18" t="n"/>
      <c r="F61" s="18" t="n"/>
      <c r="G61" s="30" t="n"/>
      <c r="H61" s="30" t="n"/>
      <c r="I61" s="30" t="n"/>
      <c r="J61" s="22" t="n"/>
      <c r="K61" s="31" t="n"/>
      <c r="L61" s="22" t="n"/>
      <c r="M61" s="22" t="n"/>
    </row>
    <row r="62">
      <c r="A62" s="18" t="n"/>
      <c r="B62" s="18" t="n"/>
      <c r="C62" s="18" t="n"/>
      <c r="D62" s="18" t="n"/>
      <c r="E62" s="18" t="n"/>
      <c r="F62" s="18" t="n"/>
      <c r="G62" s="30" t="n"/>
      <c r="H62" s="30" t="n"/>
      <c r="I62" s="30" t="n"/>
      <c r="J62" s="22" t="n"/>
      <c r="K62" s="31" t="n"/>
      <c r="L62" s="22" t="n"/>
      <c r="M62" s="22" t="n"/>
    </row>
    <row r="63">
      <c r="A63" s="18" t="n"/>
      <c r="B63" s="18" t="n"/>
      <c r="C63" s="18" t="n"/>
      <c r="D63" s="18" t="n"/>
      <c r="E63" s="18" t="n"/>
      <c r="F63" s="18" t="n"/>
      <c r="G63" s="30" t="n"/>
      <c r="H63" s="30" t="n"/>
      <c r="I63" s="30" t="n"/>
      <c r="J63" s="22" t="n"/>
      <c r="K63" s="31" t="n"/>
      <c r="L63" s="22" t="n"/>
      <c r="M63" s="22" t="n"/>
    </row>
    <row r="64">
      <c r="A64" s="18" t="n"/>
      <c r="B64" s="18" t="n"/>
      <c r="C64" s="18" t="n"/>
      <c r="D64" s="18" t="n"/>
      <c r="E64" s="18" t="n"/>
      <c r="F64" s="18" t="n"/>
      <c r="G64" s="30" t="n"/>
      <c r="H64" s="30" t="n"/>
      <c r="I64" s="30" t="n"/>
      <c r="J64" s="22" t="n"/>
      <c r="K64" s="31" t="n"/>
      <c r="L64" s="22" t="n"/>
      <c r="M64" s="22" t="n"/>
    </row>
    <row r="65">
      <c r="A65" s="18" t="n"/>
      <c r="B65" s="18" t="n"/>
      <c r="C65" s="18" t="n"/>
      <c r="D65" s="18" t="n"/>
      <c r="E65" s="18" t="n"/>
      <c r="F65" s="18" t="n"/>
      <c r="G65" s="30" t="n"/>
      <c r="H65" s="30" t="n"/>
      <c r="I65" s="30" t="n"/>
      <c r="J65" s="22" t="n"/>
      <c r="K65" s="31" t="n"/>
      <c r="L65" s="22" t="n"/>
      <c r="M65" s="22" t="n"/>
    </row>
    <row r="66">
      <c r="A66" s="18" t="n"/>
      <c r="B66" s="18" t="n"/>
      <c r="C66" s="18" t="n"/>
      <c r="D66" s="18" t="n"/>
      <c r="E66" s="18" t="n"/>
      <c r="F66" s="18" t="n"/>
      <c r="G66" s="30" t="n"/>
      <c r="H66" s="30" t="n"/>
      <c r="I66" s="30" t="n"/>
      <c r="J66" s="22" t="n"/>
      <c r="K66" s="31" t="n"/>
      <c r="L66" s="22" t="n"/>
      <c r="M66" s="22" t="n"/>
    </row>
    <row r="67">
      <c r="A67" s="18" t="n"/>
      <c r="B67" s="18" t="n"/>
      <c r="C67" s="18" t="n"/>
      <c r="D67" s="18" t="n"/>
      <c r="E67" s="18" t="n"/>
      <c r="F67" s="18" t="n"/>
      <c r="G67" s="30" t="n"/>
      <c r="H67" s="30" t="n"/>
      <c r="I67" s="30" t="n"/>
      <c r="J67" s="22" t="n"/>
      <c r="K67" s="31" t="n"/>
      <c r="L67" s="22" t="n"/>
      <c r="M67" s="22" t="n"/>
    </row>
    <row r="68">
      <c r="A68" s="18" t="n"/>
      <c r="B68" s="18" t="n"/>
      <c r="C68" s="18" t="n"/>
      <c r="D68" s="18" t="n"/>
      <c r="E68" s="18" t="n"/>
      <c r="F68" s="18" t="n"/>
      <c r="G68" s="30" t="n"/>
      <c r="H68" s="30" t="n"/>
      <c r="I68" s="30" t="n"/>
      <c r="J68" s="22" t="n"/>
      <c r="K68" s="31" t="n"/>
      <c r="L68" s="22" t="n"/>
      <c r="M68" s="22" t="n"/>
    </row>
    <row r="69">
      <c r="A69" s="18" t="n"/>
      <c r="B69" s="18" t="n"/>
      <c r="C69" s="18" t="n"/>
      <c r="D69" s="18" t="n"/>
      <c r="E69" s="18" t="n"/>
      <c r="F69" s="18" t="n"/>
      <c r="G69" s="30" t="n"/>
      <c r="H69" s="30" t="n"/>
      <c r="I69" s="30" t="n"/>
      <c r="J69" s="22" t="n"/>
      <c r="K69" s="31" t="n"/>
      <c r="L69" s="22" t="n"/>
      <c r="M69" s="22" t="n"/>
    </row>
    <row r="70">
      <c r="A70" s="18" t="n"/>
      <c r="B70" s="18" t="n"/>
      <c r="C70" s="18" t="n"/>
      <c r="D70" s="18" t="n"/>
      <c r="E70" s="18" t="n"/>
      <c r="F70" s="18" t="n"/>
      <c r="G70" s="30" t="n"/>
      <c r="H70" s="30" t="n"/>
      <c r="I70" s="30" t="n"/>
      <c r="J70" s="22" t="n"/>
      <c r="K70" s="31" t="n"/>
      <c r="L70" s="22" t="n"/>
      <c r="M70" s="22" t="n"/>
    </row>
    <row r="71">
      <c r="A71" s="18" t="n"/>
      <c r="B71" s="18" t="n"/>
      <c r="C71" s="18" t="n"/>
      <c r="D71" s="18" t="n"/>
      <c r="E71" s="18" t="n"/>
      <c r="F71" s="18" t="n"/>
      <c r="G71" s="30" t="n"/>
      <c r="H71" s="30" t="n"/>
      <c r="I71" s="30" t="n"/>
      <c r="J71" s="22" t="n"/>
      <c r="K71" s="31" t="n"/>
      <c r="L71" s="22" t="n"/>
      <c r="M71" s="22" t="n"/>
    </row>
    <row r="72">
      <c r="A72" s="18" t="n"/>
      <c r="B72" s="18" t="n"/>
      <c r="C72" s="18" t="n"/>
      <c r="D72" s="18" t="n"/>
      <c r="E72" s="18" t="n"/>
      <c r="F72" s="18" t="n"/>
      <c r="G72" s="30" t="n"/>
      <c r="H72" s="30" t="n"/>
      <c r="I72" s="30" t="n"/>
      <c r="J72" s="22" t="n"/>
      <c r="K72" s="31" t="n"/>
      <c r="L72" s="22" t="n"/>
      <c r="M72" s="22" t="n"/>
    </row>
    <row r="73">
      <c r="A73" s="18" t="n"/>
      <c r="B73" s="18" t="n"/>
      <c r="C73" s="18" t="n"/>
      <c r="D73" s="18" t="n"/>
      <c r="E73" s="18" t="n"/>
      <c r="F73" s="18" t="n"/>
      <c r="G73" s="30" t="n"/>
      <c r="H73" s="30" t="n"/>
      <c r="I73" s="30" t="n"/>
      <c r="J73" s="22" t="n"/>
      <c r="K73" s="31" t="n"/>
      <c r="L73" s="22" t="n"/>
      <c r="M73" s="22" t="n"/>
    </row>
    <row r="76" ht="22" customHeight="1">
      <c r="A76" s="39" t="inlineStr">
        <is>
          <t>三、资金收付流水（来自《A061_资金台账.xlsx》的「数据录入」，要同时打开那个文件）</t>
        </is>
      </c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3" t="n"/>
      <c r="M76" s="40">
        <f>IF(COUNTIF([1]数据录入!$I$19:$I$5078,$B$3)&gt;80,"※记录超过预留的 80 行，会显示 #SPILL!，告诉我加行","")</f>
        <v/>
      </c>
    </row>
    <row r="77" ht="32" customHeight="1">
      <c r="A77" s="37" t="inlineStr">
        <is>
          <t>序号</t>
        </is>
      </c>
      <c r="B77" s="37" t="inlineStr">
        <is>
          <t>日期</t>
        </is>
      </c>
      <c r="C77" s="37" t="inlineStr">
        <is>
          <t>公司账户</t>
        </is>
      </c>
      <c r="D77" s="37" t="inlineStr">
        <is>
          <t>收/支项目类别</t>
        </is>
      </c>
      <c r="E77" s="37" t="inlineStr">
        <is>
          <t>摘要内容</t>
        </is>
      </c>
      <c r="F77" s="37" t="inlineStr">
        <is>
          <t>收入</t>
        </is>
      </c>
      <c r="G77" s="37" t="inlineStr">
        <is>
          <t>支出</t>
        </is>
      </c>
      <c r="H77" s="37" t="inlineStr">
        <is>
          <t>账户余额</t>
        </is>
      </c>
      <c r="I77" s="37" t="inlineStr">
        <is>
          <t>客户</t>
        </is>
      </c>
      <c r="J77" s="37" t="inlineStr">
        <is>
          <t>供应商</t>
        </is>
      </c>
      <c r="K77" s="37" t="inlineStr">
        <is>
          <t>月份</t>
        </is>
      </c>
    </row>
    <row r="78">
      <c r="A78" s="18" cm="1">
        <f t="array" ref="A78:K157">_xlfn._xlws.FILTER(IF([1]数据录入!$A$19:$K$5078="","",[1]数据录入!$A$19:$K$5078),[1]数据录入!$I$19:$I$5078=$B$3,"这个客户在资金台账里没有流水，或者《A061_资金台账.xlsx》没打开")</f>
        <v/>
      </c>
      <c r="B78" s="30" t="n"/>
      <c r="C78" s="18" t="n"/>
      <c r="D78" s="18" t="n"/>
      <c r="E78" s="18" t="n"/>
      <c r="F78" s="22" t="n"/>
      <c r="G78" s="22" t="n"/>
      <c r="H78" s="22" t="n"/>
      <c r="I78" s="18" t="n"/>
      <c r="J78" s="18" t="n"/>
      <c r="K78" s="23" t="n"/>
    </row>
    <row r="79">
      <c r="A79" s="18" t="n"/>
      <c r="B79" s="30" t="n"/>
      <c r="C79" s="18" t="n"/>
      <c r="D79" s="18" t="n"/>
      <c r="E79" s="18" t="n"/>
      <c r="F79" s="22" t="n"/>
      <c r="G79" s="22" t="n"/>
      <c r="H79" s="22" t="n"/>
      <c r="I79" s="18" t="n"/>
      <c r="J79" s="18" t="n"/>
      <c r="K79" s="23" t="n"/>
    </row>
    <row r="80">
      <c r="A80" s="18" t="n"/>
      <c r="B80" s="30" t="n"/>
      <c r="C80" s="18" t="n"/>
      <c r="D80" s="18" t="n"/>
      <c r="E80" s="18" t="n"/>
      <c r="F80" s="22" t="n"/>
      <c r="G80" s="22" t="n"/>
      <c r="H80" s="22" t="n"/>
      <c r="I80" s="18" t="n"/>
      <c r="J80" s="18" t="n"/>
      <c r="K80" s="23" t="n"/>
    </row>
    <row r="81">
      <c r="A81" s="18" t="n"/>
      <c r="B81" s="30" t="n"/>
      <c r="C81" s="18" t="n"/>
      <c r="D81" s="18" t="n"/>
      <c r="E81" s="18" t="n"/>
      <c r="F81" s="22" t="n"/>
      <c r="G81" s="22" t="n"/>
      <c r="H81" s="22" t="n"/>
      <c r="I81" s="18" t="n"/>
      <c r="J81" s="18" t="n"/>
      <c r="K81" s="23" t="n"/>
    </row>
    <row r="82">
      <c r="A82" s="18" t="n"/>
      <c r="B82" s="30" t="n"/>
      <c r="C82" s="18" t="n"/>
      <c r="D82" s="18" t="n"/>
      <c r="E82" s="18" t="n"/>
      <c r="F82" s="22" t="n"/>
      <c r="G82" s="22" t="n"/>
      <c r="H82" s="22" t="n"/>
      <c r="I82" s="18" t="n"/>
      <c r="J82" s="18" t="n"/>
      <c r="K82" s="23" t="n"/>
    </row>
    <row r="83">
      <c r="A83" s="18" t="n"/>
      <c r="B83" s="30" t="n"/>
      <c r="C83" s="18" t="n"/>
      <c r="D83" s="18" t="n"/>
      <c r="E83" s="18" t="n"/>
      <c r="F83" s="22" t="n"/>
      <c r="G83" s="22" t="n"/>
      <c r="H83" s="22" t="n"/>
      <c r="I83" s="18" t="n"/>
      <c r="J83" s="18" t="n"/>
      <c r="K83" s="23" t="n"/>
    </row>
    <row r="84">
      <c r="A84" s="18" t="n"/>
      <c r="B84" s="30" t="n"/>
      <c r="C84" s="18" t="n"/>
      <c r="D84" s="18" t="n"/>
      <c r="E84" s="18" t="n"/>
      <c r="F84" s="22" t="n"/>
      <c r="G84" s="22" t="n"/>
      <c r="H84" s="22" t="n"/>
      <c r="I84" s="18" t="n"/>
      <c r="J84" s="18" t="n"/>
      <c r="K84" s="23" t="n"/>
    </row>
    <row r="85">
      <c r="A85" s="18" t="n"/>
      <c r="B85" s="30" t="n"/>
      <c r="C85" s="18" t="n"/>
      <c r="D85" s="18" t="n"/>
      <c r="E85" s="18" t="n"/>
      <c r="F85" s="22" t="n"/>
      <c r="G85" s="22" t="n"/>
      <c r="H85" s="22" t="n"/>
      <c r="I85" s="18" t="n"/>
      <c r="J85" s="18" t="n"/>
      <c r="K85" s="23" t="n"/>
    </row>
    <row r="86">
      <c r="A86" s="18" t="n"/>
      <c r="B86" s="30" t="n"/>
      <c r="C86" s="18" t="n"/>
      <c r="D86" s="18" t="n"/>
      <c r="E86" s="18" t="n"/>
      <c r="F86" s="22" t="n"/>
      <c r="G86" s="22" t="n"/>
      <c r="H86" s="22" t="n"/>
      <c r="I86" s="18" t="n"/>
      <c r="J86" s="18" t="n"/>
      <c r="K86" s="23" t="n"/>
    </row>
    <row r="87">
      <c r="A87" s="18" t="n"/>
      <c r="B87" s="30" t="n"/>
      <c r="C87" s="18" t="n"/>
      <c r="D87" s="18" t="n"/>
      <c r="E87" s="18" t="n"/>
      <c r="F87" s="22" t="n"/>
      <c r="G87" s="22" t="n"/>
      <c r="H87" s="22" t="n"/>
      <c r="I87" s="18" t="n"/>
      <c r="J87" s="18" t="n"/>
      <c r="K87" s="23" t="n"/>
    </row>
    <row r="88">
      <c r="A88" s="18" t="n"/>
      <c r="B88" s="30" t="n"/>
      <c r="C88" s="18" t="n"/>
      <c r="D88" s="18" t="n"/>
      <c r="E88" s="18" t="n"/>
      <c r="F88" s="22" t="n"/>
      <c r="G88" s="22" t="n"/>
      <c r="H88" s="22" t="n"/>
      <c r="I88" s="18" t="n"/>
      <c r="J88" s="18" t="n"/>
      <c r="K88" s="23" t="n"/>
    </row>
    <row r="89">
      <c r="A89" s="18" t="n"/>
      <c r="B89" s="30" t="n"/>
      <c r="C89" s="18" t="n"/>
      <c r="D89" s="18" t="n"/>
      <c r="E89" s="18" t="n"/>
      <c r="F89" s="22" t="n"/>
      <c r="G89" s="22" t="n"/>
      <c r="H89" s="22" t="n"/>
      <c r="I89" s="18" t="n"/>
      <c r="J89" s="18" t="n"/>
      <c r="K89" s="23" t="n"/>
    </row>
    <row r="90">
      <c r="A90" s="18" t="n"/>
      <c r="B90" s="30" t="n"/>
      <c r="C90" s="18" t="n"/>
      <c r="D90" s="18" t="n"/>
      <c r="E90" s="18" t="n"/>
      <c r="F90" s="22" t="n"/>
      <c r="G90" s="22" t="n"/>
      <c r="H90" s="22" t="n"/>
      <c r="I90" s="18" t="n"/>
      <c r="J90" s="18" t="n"/>
      <c r="K90" s="23" t="n"/>
    </row>
    <row r="91">
      <c r="A91" s="18" t="n"/>
      <c r="B91" s="30" t="n"/>
      <c r="C91" s="18" t="n"/>
      <c r="D91" s="18" t="n"/>
      <c r="E91" s="18" t="n"/>
      <c r="F91" s="22" t="n"/>
      <c r="G91" s="22" t="n"/>
      <c r="H91" s="22" t="n"/>
      <c r="I91" s="18" t="n"/>
      <c r="J91" s="18" t="n"/>
      <c r="K91" s="23" t="n"/>
    </row>
    <row r="92">
      <c r="A92" s="18" t="n"/>
      <c r="B92" s="30" t="n"/>
      <c r="C92" s="18" t="n"/>
      <c r="D92" s="18" t="n"/>
      <c r="E92" s="18" t="n"/>
      <c r="F92" s="22" t="n"/>
      <c r="G92" s="22" t="n"/>
      <c r="H92" s="22" t="n"/>
      <c r="I92" s="18" t="n"/>
      <c r="J92" s="18" t="n"/>
      <c r="K92" s="23" t="n"/>
    </row>
    <row r="93">
      <c r="A93" s="18" t="n"/>
      <c r="B93" s="30" t="n"/>
      <c r="C93" s="18" t="n"/>
      <c r="D93" s="18" t="n"/>
      <c r="E93" s="18" t="n"/>
      <c r="F93" s="22" t="n"/>
      <c r="G93" s="22" t="n"/>
      <c r="H93" s="22" t="n"/>
      <c r="I93" s="18" t="n"/>
      <c r="J93" s="18" t="n"/>
      <c r="K93" s="23" t="n"/>
    </row>
    <row r="94">
      <c r="A94" s="18" t="n"/>
      <c r="B94" s="30" t="n"/>
      <c r="C94" s="18" t="n"/>
      <c r="D94" s="18" t="n"/>
      <c r="E94" s="18" t="n"/>
      <c r="F94" s="22" t="n"/>
      <c r="G94" s="22" t="n"/>
      <c r="H94" s="22" t="n"/>
      <c r="I94" s="18" t="n"/>
      <c r="J94" s="18" t="n"/>
      <c r="K94" s="23" t="n"/>
    </row>
    <row r="95">
      <c r="A95" s="18" t="n"/>
      <c r="B95" s="30" t="n"/>
      <c r="C95" s="18" t="n"/>
      <c r="D95" s="18" t="n"/>
      <c r="E95" s="18" t="n"/>
      <c r="F95" s="22" t="n"/>
      <c r="G95" s="22" t="n"/>
      <c r="H95" s="22" t="n"/>
      <c r="I95" s="18" t="n"/>
      <c r="J95" s="18" t="n"/>
      <c r="K95" s="23" t="n"/>
    </row>
    <row r="96">
      <c r="A96" s="18" t="n"/>
      <c r="B96" s="30" t="n"/>
      <c r="C96" s="18" t="n"/>
      <c r="D96" s="18" t="n"/>
      <c r="E96" s="18" t="n"/>
      <c r="F96" s="22" t="n"/>
      <c r="G96" s="22" t="n"/>
      <c r="H96" s="22" t="n"/>
      <c r="I96" s="18" t="n"/>
      <c r="J96" s="18" t="n"/>
      <c r="K96" s="23" t="n"/>
    </row>
    <row r="97">
      <c r="A97" s="18" t="n"/>
      <c r="B97" s="30" t="n"/>
      <c r="C97" s="18" t="n"/>
      <c r="D97" s="18" t="n"/>
      <c r="E97" s="18" t="n"/>
      <c r="F97" s="22" t="n"/>
      <c r="G97" s="22" t="n"/>
      <c r="H97" s="22" t="n"/>
      <c r="I97" s="18" t="n"/>
      <c r="J97" s="18" t="n"/>
      <c r="K97" s="23" t="n"/>
    </row>
    <row r="98">
      <c r="A98" s="18" t="n"/>
      <c r="B98" s="30" t="n"/>
      <c r="C98" s="18" t="n"/>
      <c r="D98" s="18" t="n"/>
      <c r="E98" s="18" t="n"/>
      <c r="F98" s="22" t="n"/>
      <c r="G98" s="22" t="n"/>
      <c r="H98" s="22" t="n"/>
      <c r="I98" s="18" t="n"/>
      <c r="J98" s="18" t="n"/>
      <c r="K98" s="23" t="n"/>
    </row>
    <row r="99">
      <c r="A99" s="18" t="n"/>
      <c r="B99" s="30" t="n"/>
      <c r="C99" s="18" t="n"/>
      <c r="D99" s="18" t="n"/>
      <c r="E99" s="18" t="n"/>
      <c r="F99" s="22" t="n"/>
      <c r="G99" s="22" t="n"/>
      <c r="H99" s="22" t="n"/>
      <c r="I99" s="18" t="n"/>
      <c r="J99" s="18" t="n"/>
      <c r="K99" s="23" t="n"/>
    </row>
    <row r="100">
      <c r="A100" s="18" t="n"/>
      <c r="B100" s="30" t="n"/>
      <c r="C100" s="18" t="n"/>
      <c r="D100" s="18" t="n"/>
      <c r="E100" s="18" t="n"/>
      <c r="F100" s="22" t="n"/>
      <c r="G100" s="22" t="n"/>
      <c r="H100" s="22" t="n"/>
      <c r="I100" s="18" t="n"/>
      <c r="J100" s="18" t="n"/>
      <c r="K100" s="23" t="n"/>
    </row>
    <row r="101">
      <c r="A101" s="18" t="n"/>
      <c r="B101" s="30" t="n"/>
      <c r="C101" s="18" t="n"/>
      <c r="D101" s="18" t="n"/>
      <c r="E101" s="18" t="n"/>
      <c r="F101" s="22" t="n"/>
      <c r="G101" s="22" t="n"/>
      <c r="H101" s="22" t="n"/>
      <c r="I101" s="18" t="n"/>
      <c r="J101" s="18" t="n"/>
      <c r="K101" s="23" t="n"/>
    </row>
    <row r="102">
      <c r="A102" s="18" t="n"/>
      <c r="B102" s="30" t="n"/>
      <c r="C102" s="18" t="n"/>
      <c r="D102" s="18" t="n"/>
      <c r="E102" s="18" t="n"/>
      <c r="F102" s="22" t="n"/>
      <c r="G102" s="22" t="n"/>
      <c r="H102" s="22" t="n"/>
      <c r="I102" s="18" t="n"/>
      <c r="J102" s="18" t="n"/>
      <c r="K102" s="23" t="n"/>
    </row>
    <row r="103">
      <c r="A103" s="18" t="n"/>
      <c r="B103" s="30" t="n"/>
      <c r="C103" s="18" t="n"/>
      <c r="D103" s="18" t="n"/>
      <c r="E103" s="18" t="n"/>
      <c r="F103" s="22" t="n"/>
      <c r="G103" s="22" t="n"/>
      <c r="H103" s="22" t="n"/>
      <c r="I103" s="18" t="n"/>
      <c r="J103" s="18" t="n"/>
      <c r="K103" s="23" t="n"/>
    </row>
    <row r="104">
      <c r="A104" s="18" t="n"/>
      <c r="B104" s="30" t="n"/>
      <c r="C104" s="18" t="n"/>
      <c r="D104" s="18" t="n"/>
      <c r="E104" s="18" t="n"/>
      <c r="F104" s="22" t="n"/>
      <c r="G104" s="22" t="n"/>
      <c r="H104" s="22" t="n"/>
      <c r="I104" s="18" t="n"/>
      <c r="J104" s="18" t="n"/>
      <c r="K104" s="23" t="n"/>
    </row>
    <row r="105">
      <c r="A105" s="18" t="n"/>
      <c r="B105" s="30" t="n"/>
      <c r="C105" s="18" t="n"/>
      <c r="D105" s="18" t="n"/>
      <c r="E105" s="18" t="n"/>
      <c r="F105" s="22" t="n"/>
      <c r="G105" s="22" t="n"/>
      <c r="H105" s="22" t="n"/>
      <c r="I105" s="18" t="n"/>
      <c r="J105" s="18" t="n"/>
      <c r="K105" s="23" t="n"/>
    </row>
    <row r="106">
      <c r="A106" s="18" t="n"/>
      <c r="B106" s="30" t="n"/>
      <c r="C106" s="18" t="n"/>
      <c r="D106" s="18" t="n"/>
      <c r="E106" s="18" t="n"/>
      <c r="F106" s="22" t="n"/>
      <c r="G106" s="22" t="n"/>
      <c r="H106" s="22" t="n"/>
      <c r="I106" s="18" t="n"/>
      <c r="J106" s="18" t="n"/>
      <c r="K106" s="23" t="n"/>
    </row>
    <row r="107">
      <c r="A107" s="18" t="n"/>
      <c r="B107" s="30" t="n"/>
      <c r="C107" s="18" t="n"/>
      <c r="D107" s="18" t="n"/>
      <c r="E107" s="18" t="n"/>
      <c r="F107" s="22" t="n"/>
      <c r="G107" s="22" t="n"/>
      <c r="H107" s="22" t="n"/>
      <c r="I107" s="18" t="n"/>
      <c r="J107" s="18" t="n"/>
      <c r="K107" s="23" t="n"/>
    </row>
    <row r="108">
      <c r="A108" s="18" t="n"/>
      <c r="B108" s="30" t="n"/>
      <c r="C108" s="18" t="n"/>
      <c r="D108" s="18" t="n"/>
      <c r="E108" s="18" t="n"/>
      <c r="F108" s="22" t="n"/>
      <c r="G108" s="22" t="n"/>
      <c r="H108" s="22" t="n"/>
      <c r="I108" s="18" t="n"/>
      <c r="J108" s="18" t="n"/>
      <c r="K108" s="23" t="n"/>
    </row>
    <row r="109">
      <c r="A109" s="18" t="n"/>
      <c r="B109" s="30" t="n"/>
      <c r="C109" s="18" t="n"/>
      <c r="D109" s="18" t="n"/>
      <c r="E109" s="18" t="n"/>
      <c r="F109" s="22" t="n"/>
      <c r="G109" s="22" t="n"/>
      <c r="H109" s="22" t="n"/>
      <c r="I109" s="18" t="n"/>
      <c r="J109" s="18" t="n"/>
      <c r="K109" s="23" t="n"/>
    </row>
    <row r="110">
      <c r="A110" s="18" t="n"/>
      <c r="B110" s="30" t="n"/>
      <c r="C110" s="18" t="n"/>
      <c r="D110" s="18" t="n"/>
      <c r="E110" s="18" t="n"/>
      <c r="F110" s="22" t="n"/>
      <c r="G110" s="22" t="n"/>
      <c r="H110" s="22" t="n"/>
      <c r="I110" s="18" t="n"/>
      <c r="J110" s="18" t="n"/>
      <c r="K110" s="23" t="n"/>
    </row>
    <row r="111">
      <c r="A111" s="18" t="n"/>
      <c r="B111" s="30" t="n"/>
      <c r="C111" s="18" t="n"/>
      <c r="D111" s="18" t="n"/>
      <c r="E111" s="18" t="n"/>
      <c r="F111" s="22" t="n"/>
      <c r="G111" s="22" t="n"/>
      <c r="H111" s="22" t="n"/>
      <c r="I111" s="18" t="n"/>
      <c r="J111" s="18" t="n"/>
      <c r="K111" s="23" t="n"/>
    </row>
    <row r="112">
      <c r="A112" s="18" t="n"/>
      <c r="B112" s="30" t="n"/>
      <c r="C112" s="18" t="n"/>
      <c r="D112" s="18" t="n"/>
      <c r="E112" s="18" t="n"/>
      <c r="F112" s="22" t="n"/>
      <c r="G112" s="22" t="n"/>
      <c r="H112" s="22" t="n"/>
      <c r="I112" s="18" t="n"/>
      <c r="J112" s="18" t="n"/>
      <c r="K112" s="23" t="n"/>
    </row>
    <row r="113">
      <c r="A113" s="18" t="n"/>
      <c r="B113" s="30" t="n"/>
      <c r="C113" s="18" t="n"/>
      <c r="D113" s="18" t="n"/>
      <c r="E113" s="18" t="n"/>
      <c r="F113" s="22" t="n"/>
      <c r="G113" s="22" t="n"/>
      <c r="H113" s="22" t="n"/>
      <c r="I113" s="18" t="n"/>
      <c r="J113" s="18" t="n"/>
      <c r="K113" s="23" t="n"/>
    </row>
    <row r="114">
      <c r="A114" s="18" t="n"/>
      <c r="B114" s="30" t="n"/>
      <c r="C114" s="18" t="n"/>
      <c r="D114" s="18" t="n"/>
      <c r="E114" s="18" t="n"/>
      <c r="F114" s="22" t="n"/>
      <c r="G114" s="22" t="n"/>
      <c r="H114" s="22" t="n"/>
      <c r="I114" s="18" t="n"/>
      <c r="J114" s="18" t="n"/>
      <c r="K114" s="23" t="n"/>
    </row>
    <row r="115">
      <c r="A115" s="18" t="n"/>
      <c r="B115" s="30" t="n"/>
      <c r="C115" s="18" t="n"/>
      <c r="D115" s="18" t="n"/>
      <c r="E115" s="18" t="n"/>
      <c r="F115" s="22" t="n"/>
      <c r="G115" s="22" t="n"/>
      <c r="H115" s="22" t="n"/>
      <c r="I115" s="18" t="n"/>
      <c r="J115" s="18" t="n"/>
      <c r="K115" s="23" t="n"/>
    </row>
    <row r="116">
      <c r="A116" s="18" t="n"/>
      <c r="B116" s="30" t="n"/>
      <c r="C116" s="18" t="n"/>
      <c r="D116" s="18" t="n"/>
      <c r="E116" s="18" t="n"/>
      <c r="F116" s="22" t="n"/>
      <c r="G116" s="22" t="n"/>
      <c r="H116" s="22" t="n"/>
      <c r="I116" s="18" t="n"/>
      <c r="J116" s="18" t="n"/>
      <c r="K116" s="23" t="n"/>
    </row>
    <row r="117">
      <c r="A117" s="18" t="n"/>
      <c r="B117" s="30" t="n"/>
      <c r="C117" s="18" t="n"/>
      <c r="D117" s="18" t="n"/>
      <c r="E117" s="18" t="n"/>
      <c r="F117" s="22" t="n"/>
      <c r="G117" s="22" t="n"/>
      <c r="H117" s="22" t="n"/>
      <c r="I117" s="18" t="n"/>
      <c r="J117" s="18" t="n"/>
      <c r="K117" s="23" t="n"/>
    </row>
    <row r="118">
      <c r="A118" s="18" t="n"/>
      <c r="B118" s="30" t="n"/>
      <c r="C118" s="18" t="n"/>
      <c r="D118" s="18" t="n"/>
      <c r="E118" s="18" t="n"/>
      <c r="F118" s="22" t="n"/>
      <c r="G118" s="22" t="n"/>
      <c r="H118" s="22" t="n"/>
      <c r="I118" s="18" t="n"/>
      <c r="J118" s="18" t="n"/>
      <c r="K118" s="23" t="n"/>
    </row>
    <row r="119">
      <c r="A119" s="18" t="n"/>
      <c r="B119" s="30" t="n"/>
      <c r="C119" s="18" t="n"/>
      <c r="D119" s="18" t="n"/>
      <c r="E119" s="18" t="n"/>
      <c r="F119" s="22" t="n"/>
      <c r="G119" s="22" t="n"/>
      <c r="H119" s="22" t="n"/>
      <c r="I119" s="18" t="n"/>
      <c r="J119" s="18" t="n"/>
      <c r="K119" s="23" t="n"/>
    </row>
    <row r="120">
      <c r="A120" s="18" t="n"/>
      <c r="B120" s="30" t="n"/>
      <c r="C120" s="18" t="n"/>
      <c r="D120" s="18" t="n"/>
      <c r="E120" s="18" t="n"/>
      <c r="F120" s="22" t="n"/>
      <c r="G120" s="22" t="n"/>
      <c r="H120" s="22" t="n"/>
      <c r="I120" s="18" t="n"/>
      <c r="J120" s="18" t="n"/>
      <c r="K120" s="23" t="n"/>
    </row>
    <row r="121">
      <c r="A121" s="18" t="n"/>
      <c r="B121" s="30" t="n"/>
      <c r="C121" s="18" t="n"/>
      <c r="D121" s="18" t="n"/>
      <c r="E121" s="18" t="n"/>
      <c r="F121" s="22" t="n"/>
      <c r="G121" s="22" t="n"/>
      <c r="H121" s="22" t="n"/>
      <c r="I121" s="18" t="n"/>
      <c r="J121" s="18" t="n"/>
      <c r="K121" s="23" t="n"/>
    </row>
    <row r="122">
      <c r="A122" s="18" t="n"/>
      <c r="B122" s="30" t="n"/>
      <c r="C122" s="18" t="n"/>
      <c r="D122" s="18" t="n"/>
      <c r="E122" s="18" t="n"/>
      <c r="F122" s="22" t="n"/>
      <c r="G122" s="22" t="n"/>
      <c r="H122" s="22" t="n"/>
      <c r="I122" s="18" t="n"/>
      <c r="J122" s="18" t="n"/>
      <c r="K122" s="23" t="n"/>
    </row>
    <row r="123">
      <c r="A123" s="18" t="n"/>
      <c r="B123" s="30" t="n"/>
      <c r="C123" s="18" t="n"/>
      <c r="D123" s="18" t="n"/>
      <c r="E123" s="18" t="n"/>
      <c r="F123" s="22" t="n"/>
      <c r="G123" s="22" t="n"/>
      <c r="H123" s="22" t="n"/>
      <c r="I123" s="18" t="n"/>
      <c r="J123" s="18" t="n"/>
      <c r="K123" s="23" t="n"/>
    </row>
    <row r="124">
      <c r="A124" s="18" t="n"/>
      <c r="B124" s="30" t="n"/>
      <c r="C124" s="18" t="n"/>
      <c r="D124" s="18" t="n"/>
      <c r="E124" s="18" t="n"/>
      <c r="F124" s="22" t="n"/>
      <c r="G124" s="22" t="n"/>
      <c r="H124" s="22" t="n"/>
      <c r="I124" s="18" t="n"/>
      <c r="J124" s="18" t="n"/>
      <c r="K124" s="23" t="n"/>
    </row>
    <row r="125">
      <c r="A125" s="18" t="n"/>
      <c r="B125" s="30" t="n"/>
      <c r="C125" s="18" t="n"/>
      <c r="D125" s="18" t="n"/>
      <c r="E125" s="18" t="n"/>
      <c r="F125" s="22" t="n"/>
      <c r="G125" s="22" t="n"/>
      <c r="H125" s="22" t="n"/>
      <c r="I125" s="18" t="n"/>
      <c r="J125" s="18" t="n"/>
      <c r="K125" s="23" t="n"/>
    </row>
    <row r="126">
      <c r="A126" s="18" t="n"/>
      <c r="B126" s="30" t="n"/>
      <c r="C126" s="18" t="n"/>
      <c r="D126" s="18" t="n"/>
      <c r="E126" s="18" t="n"/>
      <c r="F126" s="22" t="n"/>
      <c r="G126" s="22" t="n"/>
      <c r="H126" s="22" t="n"/>
      <c r="I126" s="18" t="n"/>
      <c r="J126" s="18" t="n"/>
      <c r="K126" s="23" t="n"/>
    </row>
    <row r="127">
      <c r="A127" s="18" t="n"/>
      <c r="B127" s="30" t="n"/>
      <c r="C127" s="18" t="n"/>
      <c r="D127" s="18" t="n"/>
      <c r="E127" s="18" t="n"/>
      <c r="F127" s="22" t="n"/>
      <c r="G127" s="22" t="n"/>
      <c r="H127" s="22" t="n"/>
      <c r="I127" s="18" t="n"/>
      <c r="J127" s="18" t="n"/>
      <c r="K127" s="23" t="n"/>
    </row>
    <row r="128">
      <c r="A128" s="18" t="n"/>
      <c r="B128" s="30" t="n"/>
      <c r="C128" s="18" t="n"/>
      <c r="D128" s="18" t="n"/>
      <c r="E128" s="18" t="n"/>
      <c r="F128" s="22" t="n"/>
      <c r="G128" s="22" t="n"/>
      <c r="H128" s="22" t="n"/>
      <c r="I128" s="18" t="n"/>
      <c r="J128" s="18" t="n"/>
      <c r="K128" s="23" t="n"/>
    </row>
    <row r="129">
      <c r="A129" s="18" t="n"/>
      <c r="B129" s="30" t="n"/>
      <c r="C129" s="18" t="n"/>
      <c r="D129" s="18" t="n"/>
      <c r="E129" s="18" t="n"/>
      <c r="F129" s="22" t="n"/>
      <c r="G129" s="22" t="n"/>
      <c r="H129" s="22" t="n"/>
      <c r="I129" s="18" t="n"/>
      <c r="J129" s="18" t="n"/>
      <c r="K129" s="23" t="n"/>
    </row>
    <row r="130">
      <c r="A130" s="18" t="n"/>
      <c r="B130" s="30" t="n"/>
      <c r="C130" s="18" t="n"/>
      <c r="D130" s="18" t="n"/>
      <c r="E130" s="18" t="n"/>
      <c r="F130" s="22" t="n"/>
      <c r="G130" s="22" t="n"/>
      <c r="H130" s="22" t="n"/>
      <c r="I130" s="18" t="n"/>
      <c r="J130" s="18" t="n"/>
      <c r="K130" s="23" t="n"/>
    </row>
    <row r="131">
      <c r="A131" s="18" t="n"/>
      <c r="B131" s="30" t="n"/>
      <c r="C131" s="18" t="n"/>
      <c r="D131" s="18" t="n"/>
      <c r="E131" s="18" t="n"/>
      <c r="F131" s="22" t="n"/>
      <c r="G131" s="22" t="n"/>
      <c r="H131" s="22" t="n"/>
      <c r="I131" s="18" t="n"/>
      <c r="J131" s="18" t="n"/>
      <c r="K131" s="23" t="n"/>
    </row>
    <row r="132">
      <c r="A132" s="18" t="n"/>
      <c r="B132" s="30" t="n"/>
      <c r="C132" s="18" t="n"/>
      <c r="D132" s="18" t="n"/>
      <c r="E132" s="18" t="n"/>
      <c r="F132" s="22" t="n"/>
      <c r="G132" s="22" t="n"/>
      <c r="H132" s="22" t="n"/>
      <c r="I132" s="18" t="n"/>
      <c r="J132" s="18" t="n"/>
      <c r="K132" s="23" t="n"/>
    </row>
    <row r="133">
      <c r="A133" s="18" t="n"/>
      <c r="B133" s="30" t="n"/>
      <c r="C133" s="18" t="n"/>
      <c r="D133" s="18" t="n"/>
      <c r="E133" s="18" t="n"/>
      <c r="F133" s="22" t="n"/>
      <c r="G133" s="22" t="n"/>
      <c r="H133" s="22" t="n"/>
      <c r="I133" s="18" t="n"/>
      <c r="J133" s="18" t="n"/>
      <c r="K133" s="23" t="n"/>
    </row>
    <row r="134">
      <c r="A134" s="18" t="n"/>
      <c r="B134" s="30" t="n"/>
      <c r="C134" s="18" t="n"/>
      <c r="D134" s="18" t="n"/>
      <c r="E134" s="18" t="n"/>
      <c r="F134" s="22" t="n"/>
      <c r="G134" s="22" t="n"/>
      <c r="H134" s="22" t="n"/>
      <c r="I134" s="18" t="n"/>
      <c r="J134" s="18" t="n"/>
      <c r="K134" s="23" t="n"/>
    </row>
    <row r="135">
      <c r="A135" s="18" t="n"/>
      <c r="B135" s="30" t="n"/>
      <c r="C135" s="18" t="n"/>
      <c r="D135" s="18" t="n"/>
      <c r="E135" s="18" t="n"/>
      <c r="F135" s="22" t="n"/>
      <c r="G135" s="22" t="n"/>
      <c r="H135" s="22" t="n"/>
      <c r="I135" s="18" t="n"/>
      <c r="J135" s="18" t="n"/>
      <c r="K135" s="23" t="n"/>
    </row>
    <row r="136">
      <c r="A136" s="18" t="n"/>
      <c r="B136" s="30" t="n"/>
      <c r="C136" s="18" t="n"/>
      <c r="D136" s="18" t="n"/>
      <c r="E136" s="18" t="n"/>
      <c r="F136" s="22" t="n"/>
      <c r="G136" s="22" t="n"/>
      <c r="H136" s="22" t="n"/>
      <c r="I136" s="18" t="n"/>
      <c r="J136" s="18" t="n"/>
      <c r="K136" s="23" t="n"/>
    </row>
    <row r="137">
      <c r="A137" s="18" t="n"/>
      <c r="B137" s="30" t="n"/>
      <c r="C137" s="18" t="n"/>
      <c r="D137" s="18" t="n"/>
      <c r="E137" s="18" t="n"/>
      <c r="F137" s="22" t="n"/>
      <c r="G137" s="22" t="n"/>
      <c r="H137" s="22" t="n"/>
      <c r="I137" s="18" t="n"/>
      <c r="J137" s="18" t="n"/>
      <c r="K137" s="23" t="n"/>
    </row>
    <row r="138">
      <c r="A138" s="18" t="n"/>
      <c r="B138" s="30" t="n"/>
      <c r="C138" s="18" t="n"/>
      <c r="D138" s="18" t="n"/>
      <c r="E138" s="18" t="n"/>
      <c r="F138" s="22" t="n"/>
      <c r="G138" s="22" t="n"/>
      <c r="H138" s="22" t="n"/>
      <c r="I138" s="18" t="n"/>
      <c r="J138" s="18" t="n"/>
      <c r="K138" s="23" t="n"/>
    </row>
    <row r="139">
      <c r="A139" s="18" t="n"/>
      <c r="B139" s="30" t="n"/>
      <c r="C139" s="18" t="n"/>
      <c r="D139" s="18" t="n"/>
      <c r="E139" s="18" t="n"/>
      <c r="F139" s="22" t="n"/>
      <c r="G139" s="22" t="n"/>
      <c r="H139" s="22" t="n"/>
      <c r="I139" s="18" t="n"/>
      <c r="J139" s="18" t="n"/>
      <c r="K139" s="23" t="n"/>
    </row>
    <row r="140">
      <c r="A140" s="18" t="n"/>
      <c r="B140" s="30" t="n"/>
      <c r="C140" s="18" t="n"/>
      <c r="D140" s="18" t="n"/>
      <c r="E140" s="18" t="n"/>
      <c r="F140" s="22" t="n"/>
      <c r="G140" s="22" t="n"/>
      <c r="H140" s="22" t="n"/>
      <c r="I140" s="18" t="n"/>
      <c r="J140" s="18" t="n"/>
      <c r="K140" s="23" t="n"/>
    </row>
    <row r="141">
      <c r="A141" s="18" t="n"/>
      <c r="B141" s="30" t="n"/>
      <c r="C141" s="18" t="n"/>
      <c r="D141" s="18" t="n"/>
      <c r="E141" s="18" t="n"/>
      <c r="F141" s="22" t="n"/>
      <c r="G141" s="22" t="n"/>
      <c r="H141" s="22" t="n"/>
      <c r="I141" s="18" t="n"/>
      <c r="J141" s="18" t="n"/>
      <c r="K141" s="23" t="n"/>
    </row>
    <row r="142">
      <c r="A142" s="18" t="n"/>
      <c r="B142" s="30" t="n"/>
      <c r="C142" s="18" t="n"/>
      <c r="D142" s="18" t="n"/>
      <c r="E142" s="18" t="n"/>
      <c r="F142" s="22" t="n"/>
      <c r="G142" s="22" t="n"/>
      <c r="H142" s="22" t="n"/>
      <c r="I142" s="18" t="n"/>
      <c r="J142" s="18" t="n"/>
      <c r="K142" s="23" t="n"/>
    </row>
    <row r="143">
      <c r="A143" s="18" t="n"/>
      <c r="B143" s="30" t="n"/>
      <c r="C143" s="18" t="n"/>
      <c r="D143" s="18" t="n"/>
      <c r="E143" s="18" t="n"/>
      <c r="F143" s="22" t="n"/>
      <c r="G143" s="22" t="n"/>
      <c r="H143" s="22" t="n"/>
      <c r="I143" s="18" t="n"/>
      <c r="J143" s="18" t="n"/>
      <c r="K143" s="23" t="n"/>
    </row>
    <row r="144">
      <c r="A144" s="18" t="n"/>
      <c r="B144" s="30" t="n"/>
      <c r="C144" s="18" t="n"/>
      <c r="D144" s="18" t="n"/>
      <c r="E144" s="18" t="n"/>
      <c r="F144" s="22" t="n"/>
      <c r="G144" s="22" t="n"/>
      <c r="H144" s="22" t="n"/>
      <c r="I144" s="18" t="n"/>
      <c r="J144" s="18" t="n"/>
      <c r="K144" s="23" t="n"/>
    </row>
    <row r="145">
      <c r="A145" s="18" t="n"/>
      <c r="B145" s="30" t="n"/>
      <c r="C145" s="18" t="n"/>
      <c r="D145" s="18" t="n"/>
      <c r="E145" s="18" t="n"/>
      <c r="F145" s="22" t="n"/>
      <c r="G145" s="22" t="n"/>
      <c r="H145" s="22" t="n"/>
      <c r="I145" s="18" t="n"/>
      <c r="J145" s="18" t="n"/>
      <c r="K145" s="23" t="n"/>
    </row>
    <row r="146">
      <c r="A146" s="18" t="n"/>
      <c r="B146" s="30" t="n"/>
      <c r="C146" s="18" t="n"/>
      <c r="D146" s="18" t="n"/>
      <c r="E146" s="18" t="n"/>
      <c r="F146" s="22" t="n"/>
      <c r="G146" s="22" t="n"/>
      <c r="H146" s="22" t="n"/>
      <c r="I146" s="18" t="n"/>
      <c r="J146" s="18" t="n"/>
      <c r="K146" s="23" t="n"/>
    </row>
    <row r="147">
      <c r="A147" s="18" t="n"/>
      <c r="B147" s="30" t="n"/>
      <c r="C147" s="18" t="n"/>
      <c r="D147" s="18" t="n"/>
      <c r="E147" s="18" t="n"/>
      <c r="F147" s="22" t="n"/>
      <c r="G147" s="22" t="n"/>
      <c r="H147" s="22" t="n"/>
      <c r="I147" s="18" t="n"/>
      <c r="J147" s="18" t="n"/>
      <c r="K147" s="23" t="n"/>
    </row>
    <row r="148">
      <c r="A148" s="18" t="n"/>
      <c r="B148" s="30" t="n"/>
      <c r="C148" s="18" t="n"/>
      <c r="D148" s="18" t="n"/>
      <c r="E148" s="18" t="n"/>
      <c r="F148" s="22" t="n"/>
      <c r="G148" s="22" t="n"/>
      <c r="H148" s="22" t="n"/>
      <c r="I148" s="18" t="n"/>
      <c r="J148" s="18" t="n"/>
      <c r="K148" s="23" t="n"/>
    </row>
    <row r="149">
      <c r="A149" s="18" t="n"/>
      <c r="B149" s="30" t="n"/>
      <c r="C149" s="18" t="n"/>
      <c r="D149" s="18" t="n"/>
      <c r="E149" s="18" t="n"/>
      <c r="F149" s="22" t="n"/>
      <c r="G149" s="22" t="n"/>
      <c r="H149" s="22" t="n"/>
      <c r="I149" s="18" t="n"/>
      <c r="J149" s="18" t="n"/>
      <c r="K149" s="23" t="n"/>
    </row>
    <row r="150">
      <c r="A150" s="18" t="n"/>
      <c r="B150" s="30" t="n"/>
      <c r="C150" s="18" t="n"/>
      <c r="D150" s="18" t="n"/>
      <c r="E150" s="18" t="n"/>
      <c r="F150" s="22" t="n"/>
      <c r="G150" s="22" t="n"/>
      <c r="H150" s="22" t="n"/>
      <c r="I150" s="18" t="n"/>
      <c r="J150" s="18" t="n"/>
      <c r="K150" s="23" t="n"/>
    </row>
    <row r="151">
      <c r="A151" s="18" t="n"/>
      <c r="B151" s="30" t="n"/>
      <c r="C151" s="18" t="n"/>
      <c r="D151" s="18" t="n"/>
      <c r="E151" s="18" t="n"/>
      <c r="F151" s="22" t="n"/>
      <c r="G151" s="22" t="n"/>
      <c r="H151" s="22" t="n"/>
      <c r="I151" s="18" t="n"/>
      <c r="J151" s="18" t="n"/>
      <c r="K151" s="23" t="n"/>
    </row>
    <row r="152">
      <c r="A152" s="18" t="n"/>
      <c r="B152" s="30" t="n"/>
      <c r="C152" s="18" t="n"/>
      <c r="D152" s="18" t="n"/>
      <c r="E152" s="18" t="n"/>
      <c r="F152" s="22" t="n"/>
      <c r="G152" s="22" t="n"/>
      <c r="H152" s="22" t="n"/>
      <c r="I152" s="18" t="n"/>
      <c r="J152" s="18" t="n"/>
      <c r="K152" s="23" t="n"/>
    </row>
    <row r="153">
      <c r="A153" s="18" t="n"/>
      <c r="B153" s="30" t="n"/>
      <c r="C153" s="18" t="n"/>
      <c r="D153" s="18" t="n"/>
      <c r="E153" s="18" t="n"/>
      <c r="F153" s="22" t="n"/>
      <c r="G153" s="22" t="n"/>
      <c r="H153" s="22" t="n"/>
      <c r="I153" s="18" t="n"/>
      <c r="J153" s="18" t="n"/>
      <c r="K153" s="23" t="n"/>
    </row>
    <row r="154">
      <c r="A154" s="18" t="n"/>
      <c r="B154" s="30" t="n"/>
      <c r="C154" s="18" t="n"/>
      <c r="D154" s="18" t="n"/>
      <c r="E154" s="18" t="n"/>
      <c r="F154" s="22" t="n"/>
      <c r="G154" s="22" t="n"/>
      <c r="H154" s="22" t="n"/>
      <c r="I154" s="18" t="n"/>
      <c r="J154" s="18" t="n"/>
      <c r="K154" s="23" t="n"/>
    </row>
    <row r="155">
      <c r="A155" s="18" t="n"/>
      <c r="B155" s="30" t="n"/>
      <c r="C155" s="18" t="n"/>
      <c r="D155" s="18" t="n"/>
      <c r="E155" s="18" t="n"/>
      <c r="F155" s="22" t="n"/>
      <c r="G155" s="22" t="n"/>
      <c r="H155" s="22" t="n"/>
      <c r="I155" s="18" t="n"/>
      <c r="J155" s="18" t="n"/>
      <c r="K155" s="23" t="n"/>
    </row>
    <row r="156">
      <c r="A156" s="18" t="n"/>
      <c r="B156" s="30" t="n"/>
      <c r="C156" s="18" t="n"/>
      <c r="D156" s="18" t="n"/>
      <c r="E156" s="18" t="n"/>
      <c r="F156" s="22" t="n"/>
      <c r="G156" s="22" t="n"/>
      <c r="H156" s="22" t="n"/>
      <c r="I156" s="18" t="n"/>
      <c r="J156" s="18" t="n"/>
      <c r="K156" s="23" t="n"/>
    </row>
    <row r="157">
      <c r="A157" s="18" t="n"/>
      <c r="B157" s="30" t="n"/>
      <c r="C157" s="18" t="n"/>
      <c r="D157" s="18" t="n"/>
      <c r="E157" s="18" t="n"/>
      <c r="F157" s="22" t="n"/>
      <c r="G157" s="22" t="n"/>
      <c r="H157" s="22" t="n"/>
      <c r="I157" s="18" t="n"/>
      <c r="J157" s="18" t="n"/>
      <c r="K157" s="23" t="n"/>
    </row>
  </sheetData>
  <mergeCells count="8">
    <mergeCell ref="A2:R2"/>
    <mergeCell ref="B3:C3"/>
    <mergeCell ref="A52:M52"/>
    <mergeCell ref="A1:R1"/>
    <mergeCell ref="A76:K76"/>
    <mergeCell ref="A8:R8"/>
    <mergeCell ref="E3:F3"/>
    <mergeCell ref="H3:I3"/>
  </mergeCells>
  <dataValidations count="1">
    <dataValidation sqref="B3" showDropDown="0" showInputMessage="0" showErrorMessage="1" allowBlank="1" errorTitle="不在名单里" error="先去【资料】把它加上，或者选一个已有的。" type="list" errorStyle="warning">
      <formula1>=客户名单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2026-09-17T12:07:44Z</dcterms:created>
  <dcterms:modified xsi:type="dcterms:W3CDTF">2026-09-17T12:07:45Z</dcterms:modified>
</cp:coreProperties>
</file>