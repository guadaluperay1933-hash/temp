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Users\xwechat_files\wxid_00859gwjoqa312_4270\msg\file\2026-09\"/>
    </mc:Choice>
  </mc:AlternateContent>
  <bookViews>
    <workbookView windowWidth="28800" windowHeight="12375"/>
  </bookViews>
  <sheets>
    <sheet name="Sheet1" sheetId="1" r:id="rId1"/>
    <sheet name="Sheet2" sheetId="2" r:id="rId2"/>
    <sheet name="资料" sheetId="3" r:id="rId3"/>
    <sheet name="查询表" sheetId="4" r:id="rId4"/>
    <sheet name="金辉典当" sheetId="5" r:id="rId5"/>
    <sheet name="明道典当" sheetId="6" r:id="rId6"/>
    <sheet name="个人典当" sheetId="7" r:id="rId7"/>
  </sheets>
  <definedNames>
    <definedName name="_xlnm._FilterDatabase" localSheetId="0" hidden="1">Sheet1!$A$2:$XFC$69</definedName>
    <definedName name="_xlnm._FilterDatabase" localSheetId="1" hidden="1">Sheet2!#REF!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U2" authorId="0">
      <text>
        <r>
          <rPr>
            <sz val="9"/>
            <rFont val="宋体"/>
            <charset val="134"/>
          </rPr>
          <t>按开票金额开票</t>
        </r>
      </text>
    </comment>
    <comment ref="E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年前还本金</t>
        </r>
      </text>
    </comment>
    <comment ref="A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车位</t>
        </r>
      </text>
    </comment>
    <comment ref="E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收3750，转1250给林木英
</t>
        </r>
      </text>
    </comment>
    <comment ref="G4" authorId="0">
      <text>
        <r>
          <rPr>
            <sz val="9"/>
            <rFont val="宋体"/>
            <charset val="134"/>
          </rPr>
          <t xml:space="preserve">
4.15方楚钰还款5万
续当到25.8.18（要过来做一下手续）</t>
        </r>
      </text>
    </comment>
    <comment ref="E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7.26还3万
</t>
        </r>
      </text>
    </comment>
    <comment ref="E6" authorId="0">
      <text>
        <r>
          <rPr>
            <sz val="9"/>
            <rFont val="宋体"/>
            <charset val="134"/>
          </rPr>
          <t>还款日21号催
每个月转1000</t>
        </r>
      </text>
    </comment>
    <comment ref="G6" authorId="0">
      <text>
        <r>
          <rPr>
            <b/>
            <sz val="9"/>
            <rFont val="宋体"/>
            <charset val="134"/>
          </rPr>
          <t>24.4.10还1万</t>
        </r>
        <r>
          <rPr>
            <sz val="9"/>
            <rFont val="宋体"/>
            <charset val="134"/>
          </rPr>
          <t xml:space="preserve">
</t>
        </r>
      </text>
    </comment>
    <comment ref="E8" authorId="0">
      <text>
        <r>
          <rPr>
            <sz val="9"/>
            <rFont val="宋体"/>
            <charset val="134"/>
          </rPr>
          <t xml:space="preserve">郑强：13950408136
</t>
        </r>
      </text>
    </comment>
    <comment ref="G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5.23还本金5000元，6.22还本金35000元
26.3.20转入1万到对公。
26.3.21转入1万到对公。</t>
        </r>
      </text>
    </comment>
    <comment ref="E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从2023-12-25开始未付利息</t>
        </r>
      </text>
    </comment>
    <comment ref="G9" authorId="0">
      <text>
        <r>
          <rPr>
            <sz val="9"/>
            <rFont val="宋体"/>
            <charset val="134"/>
          </rPr>
          <t xml:space="preserve">每个月25号这样还3000
</t>
        </r>
      </text>
    </comment>
    <comment ref="G10" authorId="0">
      <text>
        <r>
          <rPr>
            <sz val="9"/>
            <rFont val="宋体"/>
            <charset val="134"/>
          </rPr>
          <t xml:space="preserve">
原借款12万，25.1.25还款2万，剩余10万
26.8.28还对公7万+吴姐建行6.8万（还未还对公）
10万利息：3月27日-8月27日，6个月*2500=15000
2万利息：5月7日-8月7日：3个月*500=1500
总合计利息：16500元
滞纳金收取2000元
本金12万+利息16500+滞纳金1500=138000元</t>
        </r>
      </text>
    </comment>
    <comment ref="E1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12.14要还进本金
转吴姐个人账户
再续两个月2月份还本</t>
        </r>
      </text>
    </comment>
    <comment ref="E12" authorId="0">
      <text>
        <r>
          <rPr>
            <sz val="9"/>
            <rFont val="宋体"/>
            <charset val="134"/>
          </rPr>
          <t xml:space="preserve">客户从25.5月开始
每个月25号还3000元
</t>
        </r>
      </text>
    </comment>
    <comment ref="E1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还5万</t>
        </r>
      </text>
    </comment>
    <comment ref="E14" authorId="0">
      <text>
        <r>
          <rPr>
            <sz val="9"/>
            <rFont val="宋体"/>
            <charset val="134"/>
          </rPr>
          <t xml:space="preserve">
律师费：6000
诉讼费：7775
合计：13775
12月4日吴灵铭还本金26000
按30%算，（26000-13775）*30%=3667.5（12月23日典当微信退还黄立斌）
</t>
        </r>
      </text>
    </comment>
    <comment ref="G14" authorId="0">
      <text>
        <r>
          <rPr>
            <sz val="9"/>
            <rFont val="宋体"/>
            <charset val="134"/>
          </rPr>
          <t xml:space="preserve">
2024.12.4从魏文冬结算中 扣下26000元。
2025.1.26吴灵铭转入典当微信10000元。</t>
        </r>
      </text>
    </comment>
    <comment ref="E15" authorId="0">
      <text>
        <r>
          <rPr>
            <sz val="9"/>
            <rFont val="宋体"/>
            <charset val="134"/>
          </rPr>
          <t>福鼎出资5万10月27日转吴姐民生</t>
        </r>
      </text>
    </comment>
    <comment ref="G15" authorId="0">
      <text>
        <r>
          <rPr>
            <sz val="9"/>
            <rFont val="宋体"/>
            <charset val="134"/>
          </rPr>
          <t xml:space="preserve">黄立斌出资9万
</t>
        </r>
      </text>
    </comment>
    <comment ref="A1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车位</t>
        </r>
      </text>
    </comment>
    <comment ref="E1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6分</t>
        </r>
      </text>
    </comment>
    <comment ref="E17" authorId="0">
      <text>
        <r>
          <rPr>
            <sz val="9"/>
            <rFont val="宋体"/>
            <charset val="134"/>
          </rPr>
          <t xml:space="preserve">连江房产
</t>
        </r>
      </text>
    </comment>
    <comment ref="E19" authorId="0">
      <text>
        <r>
          <rPr>
            <sz val="9"/>
            <rFont val="宋体"/>
            <charset val="134"/>
          </rPr>
          <t xml:space="preserve">
</t>
        </r>
        <r>
          <rPr>
            <sz val="10"/>
            <rFont val="宋体"/>
            <charset val="134"/>
          </rPr>
          <t>10.28转林总微信5000</t>
        </r>
      </text>
    </comment>
    <comment ref="G2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5.18还款2万，6.17还款1万，6.18还款1万。
26.3.16台江法院转入款25158.56元。</t>
        </r>
      </text>
    </comment>
    <comment ref="C2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实际当票时间是2024-4-8</t>
        </r>
      </text>
    </comment>
    <comment ref="E2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典当10万抵扣个人96516，典当没有出款
这笔没有记到每日记录.
12.26转6516进来，按9万算息</t>
        </r>
      </text>
    </comment>
    <comment ref="G21" authorId="0">
      <text>
        <r>
          <rPr>
            <sz val="11"/>
            <rFont val="宋体"/>
            <charset val="134"/>
          </rPr>
          <t>赖长水电话：13799910287</t>
        </r>
      </text>
    </comment>
    <comment ref="G22" authorId="0">
      <text>
        <r>
          <rPr>
            <sz val="10"/>
            <rFont val="宋体"/>
            <charset val="134"/>
          </rPr>
          <t>10.15在借款5万，扣除13万利息3250+6万利息2000，扣除5万利息1250，打款43500元
25.7.14转本金1万到典当微信（未还典当对公）
客户答应26.12.30前还本金！！</t>
        </r>
      </text>
    </comment>
    <comment ref="E2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中秋节还本金
</t>
        </r>
      </text>
    </comment>
    <comment ref="G23" authorId="0">
      <text>
        <r>
          <rPr>
            <sz val="9"/>
            <rFont val="宋体"/>
            <charset val="134"/>
          </rPr>
          <t xml:space="preserve">
26.5.28转入典当对公4500元。</t>
        </r>
      </text>
    </comment>
    <comment ref="G24" authorId="0">
      <text>
        <r>
          <rPr>
            <sz val="9"/>
            <rFont val="宋体"/>
            <charset val="134"/>
          </rPr>
          <t xml:space="preserve">
9.6还款5万
26.2.13还款本金2250元+利息1250元。
26.3.20还款本金2250元+利息1250元。
26.4.29还款本金2250元+利息1250元。
26.5.16还款本金2250元+利息1250元。
26.6.15还款本金2250元+利息1250元。
26.7.16还款本金2250元+利息1250元。
26.8.29还利息920元。</t>
        </r>
      </text>
    </comment>
    <comment ref="Q24" authorId="0">
      <text>
        <r>
          <rPr>
            <sz val="9"/>
            <rFont val="宋体"/>
            <charset val="134"/>
          </rPr>
          <t xml:space="preserve">
26.8.29转36500的利息920元</t>
        </r>
      </text>
    </comment>
    <comment ref="F2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林昌耿电话</t>
        </r>
      </text>
    </comment>
    <comment ref="E27" authorId="0">
      <text>
        <r>
          <rPr>
            <sz val="9"/>
            <rFont val="宋体"/>
            <charset val="134"/>
          </rPr>
          <t xml:space="preserve">借款人黄成真
18805919588
</t>
        </r>
      </text>
    </comment>
    <comment ref="F27" authorId="0">
      <text>
        <r>
          <rPr>
            <sz val="9"/>
            <rFont val="宋体"/>
            <charset val="134"/>
          </rPr>
          <t>王建南母亲：刘兰军18850399368</t>
        </r>
      </text>
    </comment>
    <comment ref="G27" authorId="0">
      <text>
        <r>
          <rPr>
            <sz val="9"/>
            <rFont val="宋体"/>
            <charset val="134"/>
          </rPr>
          <t xml:space="preserve">
25.10.23典当通操作还款16万（25.10.17转到林总浦发16万）
25.9.29刘兰军转了19万到林总建行。（典当通未操作还款）
26.7.31林总浦发转典当对公10万，26.8.4已经典当通操作还款10万。（剩余9万未操作还款）</t>
        </r>
      </text>
    </comment>
    <comment ref="E28" authorId="0">
      <text>
        <r>
          <rPr>
            <sz val="11"/>
            <rFont val="宋体"/>
            <charset val="134"/>
          </rPr>
          <t>当户是鄢秀峰
24.10.25借款-25.2.20回款，共计119天
一天万5
40万*万5*119=23800（25.2.25转吴姐建行）</t>
        </r>
      </text>
    </comment>
    <comment ref="G28" authorId="0">
      <text>
        <r>
          <rPr>
            <sz val="9"/>
            <rFont val="宋体"/>
            <charset val="134"/>
          </rPr>
          <t xml:space="preserve">
26.8.4还典当对公14万。</t>
        </r>
      </text>
    </comment>
    <comment ref="E29" authorId="0">
      <text>
        <r>
          <rPr>
            <sz val="11"/>
            <rFont val="宋体"/>
            <charset val="134"/>
          </rPr>
          <t>个人借款10月11日，收息按照10月11日收。</t>
        </r>
        <r>
          <rPr>
            <sz val="9"/>
            <rFont val="宋体"/>
            <charset val="134"/>
          </rPr>
          <t xml:space="preserve">
10月25日的20万是过账。</t>
        </r>
      </text>
    </comment>
    <comment ref="G30" authorId="0">
      <text>
        <r>
          <rPr>
            <sz val="9"/>
            <rFont val="宋体"/>
            <charset val="134"/>
          </rPr>
          <t>对公过账，最后转回吴姐建行
之前贷款98万，已转还林总农行
98万+23万=121万*千1*25天=30250
12月4日已转28000
欠2250元
25.7.15转吴姐民生1万元。
26.3月转林总2万元，用来支付26.1月-3月利息5500*3=16500，剩余3500用来还本金。</t>
        </r>
      </text>
    </comment>
    <comment ref="C31" authorId="0">
      <text>
        <r>
          <rPr>
            <b/>
            <sz val="9"/>
            <rFont val="宋体"/>
            <charset val="134"/>
          </rPr>
          <t>3.10出款55万</t>
        </r>
        <r>
          <rPr>
            <sz val="9"/>
            <rFont val="宋体"/>
            <charset val="134"/>
          </rPr>
          <t xml:space="preserve">
</t>
        </r>
      </text>
    </comment>
    <comment ref="E31" authorId="0">
      <text>
        <r>
          <rPr>
            <b/>
            <sz val="9"/>
            <rFont val="宋体"/>
            <charset val="134"/>
          </rPr>
          <t>5月利息到的时候催本金
续当到9月2日
25.11.25续当费用5000元转林总微信。</t>
        </r>
      </text>
    </comment>
    <comment ref="G31" authorId="0">
      <text>
        <r>
          <rPr>
            <sz val="9"/>
            <rFont val="宋体"/>
            <charset val="134"/>
          </rPr>
          <t xml:space="preserve">
26.4.15转对公30万</t>
        </r>
      </text>
    </comment>
    <comment ref="I31" authorId="0">
      <text>
        <r>
          <rPr>
            <sz val="9"/>
            <rFont val="宋体"/>
            <charset val="134"/>
          </rPr>
          <t>3.10吴姐建行收13750
3.7典当微信收1000杂费</t>
        </r>
      </text>
    </comment>
    <comment ref="E32" authorId="0">
      <text>
        <r>
          <rPr>
            <b/>
            <sz val="9"/>
            <rFont val="宋体"/>
            <charset val="134"/>
          </rPr>
          <t>4月11日出款
续当到2025-10-6</t>
        </r>
      </text>
    </comment>
    <comment ref="G32" authorId="0">
      <text>
        <r>
          <rPr>
            <sz val="9"/>
            <rFont val="宋体"/>
            <charset val="134"/>
          </rPr>
          <t>10.6本金还5000元到吴姐建行</t>
        </r>
      </text>
    </comment>
    <comment ref="I32" authorId="0">
      <text>
        <r>
          <rPr>
            <sz val="9"/>
            <rFont val="宋体"/>
            <charset val="134"/>
          </rPr>
          <t>利息3分
杂费4000元
杨江返0.5分，就是250元。
杂费返2000给他。</t>
        </r>
      </text>
    </comment>
    <comment ref="C33" authorId="0">
      <text>
        <r>
          <rPr>
            <b/>
            <sz val="9"/>
            <rFont val="宋体"/>
            <charset val="134"/>
          </rPr>
          <t>4.8放款</t>
        </r>
      </text>
    </comment>
    <comment ref="G33" authorId="0">
      <text>
        <r>
          <rPr>
            <b/>
            <sz val="9"/>
            <rFont val="宋体"/>
            <charset val="134"/>
          </rPr>
          <t>5.7还本金5000</t>
        </r>
        <r>
          <rPr>
            <sz val="9"/>
            <rFont val="宋体"/>
            <charset val="134"/>
          </rPr>
          <t xml:space="preserve">
6.7还本金5000（典当通挂账）
7.7还本金5000（典当通挂账）
8.7还本金5000（典当通挂账）</t>
        </r>
      </text>
    </comment>
    <comment ref="I33" authorId="0">
      <text>
        <r>
          <rPr>
            <sz val="9"/>
            <rFont val="宋体"/>
            <charset val="134"/>
          </rPr>
          <t xml:space="preserve">利息2.5分
杂费2000
</t>
        </r>
      </text>
    </comment>
    <comment ref="C34" authorId="0">
      <text>
        <r>
          <rPr>
            <sz val="9"/>
            <rFont val="宋体"/>
            <charset val="134"/>
          </rPr>
          <t>实际出款6月17日</t>
        </r>
      </text>
    </comment>
    <comment ref="G34" authorId="0">
      <text>
        <r>
          <rPr>
            <sz val="9"/>
            <rFont val="宋体"/>
            <charset val="134"/>
          </rPr>
          <t xml:space="preserve">
手表+房子抵押总共6万。
 当票开的是10万。
杂费2000</t>
        </r>
      </text>
    </comment>
    <comment ref="E35" authorId="0">
      <text>
        <r>
          <rPr>
            <sz val="9"/>
            <rFont val="宋体"/>
            <charset val="134"/>
          </rPr>
          <t xml:space="preserve">个人借款还欠79万，转到典当来。
25.4.27打款5万到林总建行（这5万拿来抵扣4-5月利息）剩余1万冲减本金，剩余本金79万。
因为是后置利息，所以个人借款那边还有6.7月利息2个月共计4万元
</t>
        </r>
      </text>
    </comment>
    <comment ref="E36" authorId="0">
      <text>
        <r>
          <rPr>
            <sz val="9"/>
            <rFont val="宋体"/>
            <charset val="134"/>
          </rPr>
          <t xml:space="preserve">
二押
</t>
        </r>
      </text>
    </comment>
    <comment ref="G36" authorId="0">
      <text>
        <r>
          <rPr>
            <b/>
            <sz val="9"/>
            <rFont val="宋体"/>
            <charset val="134"/>
          </rPr>
          <t xml:space="preserve">
实际出款50万
利息1.6%，杂费2000
黄福恩出款20万，（8.26已转给林总建行） 26.8.21转黄福恩本金款8万，剩余12万元！
公司30万。
每个月转2800给福恩（按1.4%分）
26.1.29转对公20万。
从25.11月起未付利息，截止到26.3月，共计5个月利息
5*8000=4万元
20-4万=16万是本金
截止到26.3月本金还欠34万
涂志高借款20万，月息1.4%
25.11月-26.3月利息合计：2800*5=14000
26.3.6转入17600元。
26.4月-6月利息：5440*3=16320元（剩余：17600-16320=1280元）
</t>
        </r>
      </text>
    </comment>
    <comment ref="I37" authorId="0">
      <text>
        <r>
          <rPr>
            <sz val="9"/>
            <rFont val="宋体"/>
            <charset val="134"/>
          </rPr>
          <t xml:space="preserve">
每个月8号收息，从11月开始</t>
        </r>
      </text>
    </comment>
    <comment ref="G39" authorId="0">
      <text>
        <r>
          <rPr>
            <sz val="9"/>
            <rFont val="宋体"/>
            <charset val="134"/>
          </rPr>
          <t xml:space="preserve">
25.10.23对公出款20万，其中10万通过海燕转回吴建忠浦发。
个人25.9.22出款的10万并到对公去，费用是1500元。
26.7.20还到对公账户，过账，从26.4月未付利息，到26.7月，共计4个月未付息。
3300*4=13200元
26.7.20重新做抵押，出款20万，新当票号3524019239</t>
        </r>
      </text>
    </comment>
    <comment ref="G40" authorId="0">
      <text>
        <r>
          <rPr>
            <b/>
            <sz val="9"/>
            <rFont val="宋体"/>
            <charset val="134"/>
          </rPr>
          <t xml:space="preserve">
跟合创汇中典当拼单，一人15万，微信找彭茂勇
后置利息！！
转彭茂勇2400元</t>
        </r>
      </text>
    </comment>
    <comment ref="G41" authorId="0">
      <text>
        <r>
          <rPr>
            <sz val="9"/>
            <rFont val="宋体"/>
            <charset val="134"/>
          </rPr>
          <t xml:space="preserve">
25.11.21出款5万，利息2.5分，提放费250元，杂费2000元。25.11.25出款15万，利息3750元</t>
        </r>
      </text>
    </comment>
    <comment ref="I41" authorId="0">
      <text>
        <r>
          <rPr>
            <sz val="9"/>
            <rFont val="宋体"/>
            <charset val="134"/>
          </rPr>
          <t xml:space="preserve">
26.2.21转了1750元
26.2.25转了3250元</t>
        </r>
      </text>
    </comment>
    <comment ref="P41" authorId="0">
      <text>
        <r>
          <rPr>
            <sz val="9"/>
            <rFont val="宋体"/>
            <charset val="134"/>
          </rPr>
          <t xml:space="preserve">
21日放款5万，利息1250元。
</t>
        </r>
      </text>
    </comment>
    <comment ref="E42" authorId="0">
      <text>
        <r>
          <rPr>
            <sz val="9"/>
            <rFont val="宋体"/>
            <charset val="134"/>
          </rPr>
          <t xml:space="preserve">
从3.15开始每月归还3500本金+利息</t>
        </r>
      </text>
    </comment>
    <comment ref="G42" authorId="0">
      <text>
        <r>
          <rPr>
            <sz val="9"/>
            <rFont val="宋体"/>
            <charset val="134"/>
          </rPr>
          <t xml:space="preserve">
26.3.16转3500本金到对公。
26.4.14转3500本金到对公。（外账那边是挂账）</t>
        </r>
      </text>
    </comment>
    <comment ref="E43" authorId="0">
      <text>
        <r>
          <rPr>
            <sz val="9"/>
            <rFont val="宋体"/>
            <charset val="134"/>
          </rPr>
          <t xml:space="preserve">
微信催江苗
</t>
        </r>
      </text>
    </comment>
    <comment ref="G44" authorId="0">
      <text>
        <r>
          <rPr>
            <sz val="9"/>
            <rFont val="宋体"/>
            <charset val="134"/>
          </rPr>
          <t xml:space="preserve">
26.1月还款40万
</t>
        </r>
      </text>
    </comment>
    <comment ref="G45" authorId="0">
      <text>
        <r>
          <rPr>
            <sz val="9"/>
            <rFont val="宋体"/>
            <charset val="134"/>
          </rPr>
          <t xml:space="preserve">
26.2.13吴志鑫转20万到林总浦发拼单，利息费用3000元。（26.2.13林总浦发已转）
渠道：陈镔返1分：1分*50万=5000元</t>
        </r>
      </text>
    </comment>
    <comment ref="G47" authorId="0">
      <text>
        <r>
          <rPr>
            <sz val="9"/>
            <rFont val="宋体"/>
            <charset val="134"/>
          </rPr>
          <t xml:space="preserve">
利息800转个人
</t>
        </r>
      </text>
    </comment>
    <comment ref="Q47" authorId="0">
      <text>
        <r>
          <rPr>
            <sz val="9"/>
            <rFont val="宋体"/>
            <charset val="134"/>
          </rPr>
          <t xml:space="preserve">
3.18转典当微信800</t>
        </r>
      </text>
    </comment>
    <comment ref="E48" authorId="0">
      <text>
        <r>
          <rPr>
            <b/>
            <sz val="9"/>
            <rFont val="宋体"/>
            <charset val="134"/>
          </rPr>
          <t xml:space="preserve">
</t>
        </r>
        <r>
          <rPr>
            <sz val="9"/>
            <rFont val="宋体"/>
            <charset val="134"/>
          </rPr>
          <t>杂费1500
利息2分
郑桢单子，返0.5就是1150+杂费500</t>
        </r>
      </text>
    </comment>
    <comment ref="G48" authorId="0">
      <text>
        <r>
          <rPr>
            <sz val="9"/>
            <rFont val="宋体"/>
            <charset val="134"/>
          </rPr>
          <t xml:space="preserve">
26.6.30转对公本金13万+利息2000元。</t>
        </r>
      </text>
    </comment>
    <comment ref="E49" authorId="0">
      <text>
        <r>
          <rPr>
            <sz val="9"/>
            <rFont val="宋体"/>
            <charset val="134"/>
          </rPr>
          <t xml:space="preserve">
返郑桢0.5就是250元.
5月22日出款</t>
        </r>
      </text>
    </comment>
    <comment ref="G50" authorId="0">
      <text>
        <r>
          <rPr>
            <sz val="9"/>
            <rFont val="宋体"/>
            <charset val="134"/>
          </rPr>
          <t xml:space="preserve">
26.4.29转1万，按这个时间收息250元。
26.5.6转1万，按这个时间收息250元</t>
        </r>
      </text>
    </comment>
    <comment ref="Q51" authorId="0">
      <text>
        <r>
          <rPr>
            <sz val="9"/>
            <rFont val="宋体"/>
            <charset val="134"/>
          </rPr>
          <t xml:space="preserve">
客户利息3000元（26.5.14已转典当微信）</t>
        </r>
      </text>
    </comment>
    <comment ref="D52" authorId="0">
      <text>
        <r>
          <rPr>
            <sz val="9"/>
            <rFont val="宋体"/>
            <charset val="134"/>
          </rPr>
          <t xml:space="preserve">
10天归还本金（利息按1.8分+停车费500）
超过10天按利息2.5分+停车费500
后息！！！</t>
        </r>
      </text>
    </comment>
    <comment ref="G52" authorId="0">
      <text>
        <r>
          <rPr>
            <sz val="9"/>
            <rFont val="宋体"/>
            <charset val="134"/>
          </rPr>
          <t xml:space="preserve">
26.7.21转入吴姐建行2000元。
26.8.16转入吴姐建行2875元。（利息）</t>
        </r>
      </text>
    </comment>
    <comment ref="D53" authorId="0">
      <text>
        <r>
          <rPr>
            <sz val="9"/>
            <rFont val="宋体"/>
            <charset val="134"/>
          </rPr>
          <t xml:space="preserve">
预计两周回款</t>
        </r>
      </text>
    </comment>
    <comment ref="G53" authorId="0">
      <text>
        <r>
          <rPr>
            <sz val="9"/>
            <rFont val="宋体"/>
            <charset val="134"/>
          </rPr>
          <t xml:space="preserve">
26.6.18转入吴姐建行30万。
5月26日借款30万，6月17日回款30万，共计23天
30万*万5*23天=3450元</t>
        </r>
      </text>
    </comment>
    <comment ref="G54" authorId="0">
      <text>
        <r>
          <rPr>
            <sz val="9"/>
            <rFont val="宋体"/>
            <charset val="134"/>
          </rPr>
          <t xml:space="preserve">
5月30日叶敏利息5200元已转林总微信。
返1分息给唐嘉，就是2080元。</t>
        </r>
      </text>
    </comment>
    <comment ref="Q54" authorId="0">
      <text>
        <r>
          <rPr>
            <sz val="9"/>
            <rFont val="宋体"/>
            <charset val="134"/>
          </rPr>
          <t xml:space="preserve">
26.6.28转入吴姐建行5200元
26.7.31转入吴姐建行5200元
26.8.28转入吴姐建行5200元。</t>
        </r>
      </text>
    </comment>
    <comment ref="G56" authorId="0">
      <text>
        <r>
          <rPr>
            <sz val="9"/>
            <rFont val="宋体"/>
            <charset val="134"/>
          </rPr>
          <t xml:space="preserve">
26.7.20转入对公账户3万元。
</t>
        </r>
      </text>
    </comment>
    <comment ref="Q57" authorId="0">
      <text>
        <r>
          <rPr>
            <sz val="9"/>
            <rFont val="宋体"/>
            <charset val="134"/>
          </rPr>
          <t xml:space="preserve">
6.10转典当微信540元。
8.10转典当微信540元。
9.9转典当微信540元。</t>
        </r>
      </text>
    </comment>
    <comment ref="G58" authorId="0">
      <text>
        <r>
          <rPr>
            <sz val="9"/>
            <rFont val="宋体"/>
            <charset val="134"/>
          </rPr>
          <t xml:space="preserve">
客户应转入利息1500元</t>
        </r>
      </text>
    </comment>
    <comment ref="E59" authorId="0">
      <text>
        <r>
          <rPr>
            <sz val="9"/>
            <rFont val="宋体"/>
            <charset val="134"/>
          </rPr>
          <t xml:space="preserve">
等本等息（24个月）
每个月还本金2083.33+1250=3333.33
不押车。</t>
        </r>
      </text>
    </comment>
    <comment ref="G59" authorId="0">
      <text>
        <r>
          <rPr>
            <sz val="9"/>
            <rFont val="宋体"/>
            <charset val="134"/>
          </rPr>
          <t xml:space="preserve">
26.7.7转林总浦发2083.33+1250（利息）=3333.33
26.8.6转林总浦发2083.33+1250（利息）=3333.33
26.9.6转林总浦发2083.33+1250（利息）=3333.33</t>
        </r>
      </text>
    </comment>
    <comment ref="Q59" authorId="0">
      <text>
        <r>
          <rPr>
            <sz val="9"/>
            <rFont val="宋体"/>
            <charset val="134"/>
          </rPr>
          <t xml:space="preserve">
26.7.7转林总浦发本金2083.33+利息1250=3333.33
26.8.6转林总浦发本金2083.33+利息1250=3333.33
</t>
        </r>
      </text>
    </comment>
    <comment ref="H60" authorId="0">
      <text>
        <r>
          <rPr>
            <sz val="9"/>
            <rFont val="宋体"/>
            <charset val="134"/>
          </rPr>
          <t xml:space="preserve">
原当票号：3524019238（开具的40万未做抵押，合并到70万当票去），此张当票已作废处理。
现当票：3524019243</t>
        </r>
      </text>
    </comment>
    <comment ref="C61" authorId="0">
      <text>
        <r>
          <rPr>
            <sz val="9"/>
            <rFont val="宋体"/>
            <charset val="134"/>
          </rPr>
          <t>实际出款26年7月27日，出款20万
当票和26年7月16日合开一笔，共计70万</t>
        </r>
      </text>
    </comment>
    <comment ref="G64" authorId="0">
      <text>
        <r>
          <rPr>
            <sz val="9"/>
            <rFont val="宋体"/>
            <charset val="134"/>
          </rPr>
          <t xml:space="preserve">
26.8.31施鉴玻回收价23188元，借款1.7万，补客户6188元.（未赎当）</t>
        </r>
      </text>
    </comment>
    <comment ref="I64" authorId="0">
      <text>
        <r>
          <rPr>
            <sz val="9"/>
            <rFont val="宋体"/>
            <charset val="134"/>
          </rPr>
          <t xml:space="preserve">
26.7.23典当微信收425元</t>
        </r>
      </text>
    </comment>
    <comment ref="G65" authorId="0">
      <text>
        <r>
          <rPr>
            <sz val="9"/>
            <rFont val="宋体"/>
            <charset val="134"/>
          </rPr>
          <t xml:space="preserve">
实际出款时间：26.7.31出款6万
20万费用4600全收+杂费2000+陈建华利息5000=11600已转林总浦发
26.8.4出款14万</t>
        </r>
      </text>
    </comment>
    <comment ref="G66" authorId="0">
      <text>
        <r>
          <rPr>
            <sz val="9"/>
            <rFont val="宋体"/>
            <charset val="134"/>
          </rPr>
          <t xml:space="preserve">
26.8.27先出款2万，利息500，杂费2000（典当微信收取）
26.8.28出款10万，利息2500元（典当微信收）</t>
        </r>
      </text>
    </comment>
    <comment ref="I68" authorId="0">
      <text>
        <r>
          <rPr>
            <sz val="9"/>
            <rFont val="宋体"/>
            <charset val="134"/>
          </rPr>
          <t xml:space="preserve">
26.9.9典当微信收2000元利息。</t>
        </r>
      </text>
    </comment>
    <comment ref="C69" authorId="0">
      <text>
        <r>
          <rPr>
            <sz val="9"/>
            <rFont val="宋体"/>
            <charset val="134"/>
          </rPr>
          <t xml:space="preserve"> 
当票是9.11日开的
</t>
        </r>
      </text>
    </comment>
  </commentList>
</comments>
</file>

<file path=xl/comments2.xml><?xml version="1.0" encoding="utf-8"?>
<comments xmlns="http://schemas.openxmlformats.org/spreadsheetml/2006/main">
  <authors>
    <author>Administrator</author>
  </authors>
  <commentList>
    <comment ref="T2" authorId="0">
      <text>
        <r>
          <rPr>
            <sz val="9"/>
            <rFont val="宋体"/>
            <charset val="134"/>
          </rPr>
          <t>按开票金额开票</t>
        </r>
      </text>
    </comment>
    <comment ref="M7" authorId="0">
      <text>
        <r>
          <rPr>
            <sz val="9"/>
            <rFont val="宋体"/>
            <charset val="134"/>
          </rPr>
          <t xml:space="preserve">
26.9.9典当微信收2000元利息。</t>
        </r>
      </text>
    </comment>
    <comment ref="I18" authorId="0">
      <text>
        <r>
          <rPr>
            <sz val="9"/>
            <rFont val="宋体"/>
            <charset val="134"/>
          </rPr>
          <t>利息2500元+停车费500（11.25）转林总微信</t>
        </r>
      </text>
    </comment>
    <comment ref="J20" authorId="0">
      <text>
        <r>
          <rPr>
            <sz val="9"/>
            <rFont val="宋体"/>
            <charset val="134"/>
          </rPr>
          <t xml:space="preserve">
26.1月还款40万
</t>
        </r>
      </text>
    </comment>
    <comment ref="H21" authorId="0">
      <text>
        <r>
          <rPr>
            <sz val="9"/>
            <rFont val="宋体"/>
            <charset val="134"/>
          </rPr>
          <t xml:space="preserve">
原来26.4.26
</t>
        </r>
      </text>
    </comment>
    <comment ref="I26" authorId="0">
      <text>
        <r>
          <rPr>
            <sz val="9"/>
            <rFont val="宋体"/>
            <charset val="134"/>
          </rPr>
          <t xml:space="preserve">
吴姐朋友借款140万，两周左右回款。
</t>
        </r>
      </text>
    </comment>
    <comment ref="D2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车位</t>
        </r>
      </text>
    </comment>
    <comment ref="I2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6分</t>
        </r>
      </text>
    </comment>
    <comment ref="F29" authorId="0">
      <text>
        <r>
          <rPr>
            <sz val="9"/>
            <rFont val="宋体"/>
            <charset val="134"/>
          </rPr>
          <t>实际出款6月17日</t>
        </r>
      </text>
    </comment>
    <comment ref="J29" authorId="0">
      <text>
        <r>
          <rPr>
            <sz val="9"/>
            <rFont val="宋体"/>
            <charset val="134"/>
          </rPr>
          <t xml:space="preserve">
手表+房子抵押总共6万。
 当票开的是10万。
杂费2000</t>
        </r>
      </text>
    </comment>
    <comment ref="J30" authorId="0">
      <text>
        <r>
          <rPr>
            <sz val="9"/>
            <rFont val="宋体"/>
            <charset val="134"/>
          </rPr>
          <t xml:space="preserve">
25.11.21出款5万，利息2.5分，提放费250元，杂费2000元。25.11.25出款15万，利息3750元</t>
        </r>
      </text>
    </comment>
    <comment ref="M30" authorId="0">
      <text>
        <r>
          <rPr>
            <sz val="9"/>
            <rFont val="宋体"/>
            <charset val="134"/>
          </rPr>
          <t xml:space="preserve">
26.2.21转了1750元
26.2.25转了3250元</t>
        </r>
      </text>
    </comment>
    <comment ref="R30" authorId="0">
      <text>
        <r>
          <rPr>
            <sz val="9"/>
            <rFont val="宋体"/>
            <charset val="134"/>
          </rPr>
          <t xml:space="preserve">
21日放款5万，利息1250元。
</t>
        </r>
      </text>
    </comment>
    <comment ref="I31" authorId="0">
      <text>
        <r>
          <rPr>
            <sz val="9"/>
            <rFont val="宋体"/>
            <charset val="134"/>
          </rPr>
          <t xml:space="preserve">
25.10.28车子停在御荣府车库。</t>
        </r>
      </text>
    </comment>
    <comment ref="G32" authorId="0">
      <text>
        <r>
          <rPr>
            <sz val="9"/>
            <rFont val="宋体"/>
            <charset val="134"/>
          </rPr>
          <t xml:space="preserve">
10天归还本金（利息按1.8分+停车费500）
超过10天按利息2.5分+停车费500
后息！！！</t>
        </r>
      </text>
    </comment>
    <comment ref="J32" authorId="0">
      <text>
        <r>
          <rPr>
            <sz val="9"/>
            <rFont val="宋体"/>
            <charset val="134"/>
          </rPr>
          <t xml:space="preserve">
26.7.21转入吴姐建行2000元。
26.8.16转入吴姐建行2875元。（利息）</t>
        </r>
      </text>
    </comment>
    <comment ref="I35" authorId="0">
      <text>
        <r>
          <rPr>
            <sz val="9"/>
            <rFont val="宋体"/>
            <charset val="134"/>
          </rPr>
          <t>利息72800+杂费2000=74800（吴建忠浦发12.5收）
12.6吴建忠浦发74800已转林总民生卡</t>
        </r>
      </text>
    </comment>
    <comment ref="D3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车位</t>
        </r>
      </text>
    </comment>
    <comment ref="I3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收3750，转1250给林木英
</t>
        </r>
      </text>
    </comment>
    <comment ref="J36" authorId="0">
      <text>
        <r>
          <rPr>
            <sz val="9"/>
            <rFont val="宋体"/>
            <charset val="134"/>
          </rPr>
          <t xml:space="preserve">
4.15方楚钰还款5万
续当到25.8.18（要过来做一下手续）</t>
        </r>
      </text>
    </comment>
    <comment ref="I38" authorId="0">
      <text>
        <r>
          <rPr>
            <b/>
            <sz val="9"/>
            <rFont val="宋体"/>
            <charset val="134"/>
          </rPr>
          <t>4月11日出款
续当到2025-10-6</t>
        </r>
      </text>
    </comment>
    <comment ref="J38" authorId="0">
      <text>
        <r>
          <rPr>
            <sz val="9"/>
            <rFont val="宋体"/>
            <charset val="134"/>
          </rPr>
          <t>10.6本金还5000元到吴姐建行</t>
        </r>
      </text>
    </comment>
    <comment ref="M38" authorId="0">
      <text>
        <r>
          <rPr>
            <sz val="9"/>
            <rFont val="宋体"/>
            <charset val="134"/>
          </rPr>
          <t>利息3分
杂费4000元
杨江返0.5分，就是250元。
杂费返2000给他。</t>
        </r>
      </text>
    </comment>
    <comment ref="I39" authorId="0">
      <text>
        <r>
          <rPr>
            <b/>
            <sz val="9"/>
            <rFont val="宋体"/>
            <charset val="134"/>
          </rPr>
          <t xml:space="preserve">
</t>
        </r>
        <r>
          <rPr>
            <sz val="9"/>
            <rFont val="宋体"/>
            <charset val="134"/>
          </rPr>
          <t xml:space="preserve">后置利息
</t>
        </r>
      </text>
    </comment>
    <comment ref="J4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5.18还款2万，6.17还款1万，6.18还款1万。
26.3.16台江法院转入款25158.56元。</t>
        </r>
      </text>
    </comment>
    <comment ref="J48" authorId="0">
      <text>
        <r>
          <rPr>
            <sz val="9"/>
            <rFont val="宋体"/>
            <charset val="134"/>
          </rPr>
          <t xml:space="preserve">
26.8.27先出款2万，利息500，杂费2000（典当微信收取）
26.8.28出款10万，利息2500元（典当微信收）</t>
        </r>
      </text>
    </comment>
    <comment ref="F5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实际当票时间是2024-4-8</t>
        </r>
      </text>
    </comment>
    <comment ref="I5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典当10万抵扣个人96516，典当没有出款
这笔没有记到每日记录.
12.26转6516进来，按9万算息</t>
        </r>
      </text>
    </comment>
    <comment ref="J50" authorId="0">
      <text>
        <r>
          <rPr>
            <sz val="11"/>
            <rFont val="宋体"/>
            <charset val="134"/>
          </rPr>
          <t>赖长水电话：13799910287</t>
        </r>
      </text>
    </comment>
    <comment ref="J51" authorId="0">
      <text>
        <r>
          <rPr>
            <sz val="9"/>
            <rFont val="宋体"/>
            <charset val="134"/>
          </rPr>
          <t xml:space="preserve">
客户应转入利息1500元</t>
        </r>
      </text>
    </comment>
    <comment ref="I55" authorId="0">
      <text>
        <r>
          <rPr>
            <sz val="9"/>
            <rFont val="宋体"/>
            <charset val="134"/>
          </rPr>
          <t xml:space="preserve">
跟柯志宏拼单。问一下情况</t>
        </r>
      </text>
    </comment>
    <comment ref="I58" authorId="0">
      <text>
        <r>
          <rPr>
            <sz val="11"/>
            <rFont val="宋体"/>
            <charset val="134"/>
          </rPr>
          <t>当户是鄢秀峰
24.10.25借款-25.2.20回款，共计119天
一天万5
40万*万5*119=23800（25.2.25转吴姐建行）</t>
        </r>
      </text>
    </comment>
    <comment ref="J58" authorId="0">
      <text>
        <r>
          <rPr>
            <sz val="9"/>
            <rFont val="宋体"/>
            <charset val="134"/>
          </rPr>
          <t xml:space="preserve">
26.8.4还典当对公14万。</t>
        </r>
      </text>
    </comment>
    <comment ref="G59" authorId="0">
      <text>
        <r>
          <rPr>
            <sz val="9"/>
            <rFont val="宋体"/>
            <charset val="134"/>
          </rPr>
          <t xml:space="preserve">
预计两周回款</t>
        </r>
      </text>
    </comment>
    <comment ref="J59" authorId="0">
      <text>
        <r>
          <rPr>
            <sz val="9"/>
            <rFont val="宋体"/>
            <charset val="134"/>
          </rPr>
          <t xml:space="preserve">
26.6.18转入吴姐建行30万。
5月26日借款30万，6月17日回款30万，共计23天
30万*万5*23天=3450元</t>
        </r>
      </text>
    </comment>
    <comment ref="I60" authorId="0">
      <text>
        <r>
          <rPr>
            <sz val="9"/>
            <rFont val="宋体"/>
            <charset val="134"/>
          </rPr>
          <t xml:space="preserve">
借款半年，利息半年付。</t>
        </r>
      </text>
    </comment>
    <comment ref="I61" authorId="0">
      <text>
        <r>
          <rPr>
            <sz val="9"/>
            <rFont val="宋体"/>
            <charset val="134"/>
          </rPr>
          <t xml:space="preserve">
借款半年，利息半年付。</t>
        </r>
      </text>
    </comment>
    <comment ref="G63" authorId="0">
      <text>
        <r>
          <rPr>
            <sz val="9"/>
            <rFont val="宋体"/>
            <charset val="134"/>
          </rPr>
          <t xml:space="preserve">
10天左右回款，明道出款
</t>
        </r>
      </text>
    </comment>
    <comment ref="I6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年前还本金</t>
        </r>
      </text>
    </comment>
    <comment ref="J69" authorId="0">
      <text>
        <r>
          <rPr>
            <sz val="9"/>
            <rFont val="宋体"/>
            <charset val="134"/>
          </rPr>
          <t xml:space="preserve">
利息800转个人
</t>
        </r>
      </text>
    </comment>
    <comment ref="I70" authorId="0">
      <text>
        <r>
          <rPr>
            <sz val="9"/>
            <rFont val="宋体"/>
            <charset val="134"/>
          </rPr>
          <t xml:space="preserve">
每个月给郑凌转500元。
25.12月林总已转。</t>
        </r>
      </text>
    </comment>
    <comment ref="J71" authorId="0">
      <text>
        <r>
          <rPr>
            <sz val="9"/>
            <rFont val="宋体"/>
            <charset val="134"/>
          </rPr>
          <t xml:space="preserve">
25.10.23对公出款20万，其中10万通过海燕转回吴建忠浦发。
个人25.9.22出款的10万并到对公去，费用是1500元。
26.7.20还到对公账户，过账，从26.4月未付利息，到26.7月，共计4个月未付息。
3300*4=13200元
26.7.20重新做抵押，出款20万，新当票号3524019239</t>
        </r>
      </text>
    </comment>
    <comment ref="I73" authorId="0">
      <text>
        <r>
          <rPr>
            <sz val="9"/>
            <rFont val="宋体"/>
            <charset val="134"/>
          </rPr>
          <t xml:space="preserve">
利息2分，无抵押</t>
        </r>
      </text>
    </comment>
    <comment ref="I74" authorId="0">
      <text>
        <r>
          <rPr>
            <sz val="9"/>
            <rFont val="宋体"/>
            <charset val="134"/>
          </rPr>
          <t xml:space="preserve">
利息2分，无抵押</t>
        </r>
      </text>
    </comment>
    <comment ref="I84" authorId="0">
      <text>
        <r>
          <rPr>
            <sz val="9"/>
            <rFont val="宋体"/>
            <charset val="134"/>
          </rPr>
          <t xml:space="preserve">微信联系他儿子：郑秩霖
</t>
        </r>
      </text>
    </comment>
    <comment ref="I85" authorId="0">
      <text>
        <r>
          <rPr>
            <sz val="9"/>
            <rFont val="宋体"/>
            <charset val="134"/>
          </rPr>
          <t xml:space="preserve">
微信催江苗
</t>
        </r>
      </text>
    </comment>
    <comment ref="I91" authorId="0">
      <text>
        <r>
          <rPr>
            <b/>
            <sz val="9"/>
            <rFont val="宋体"/>
            <charset val="134"/>
          </rPr>
          <t xml:space="preserve">
</t>
        </r>
        <r>
          <rPr>
            <sz val="9"/>
            <rFont val="宋体"/>
            <charset val="134"/>
          </rPr>
          <t>杂费1500
利息2分
郑桢单子，返0.5就是1150+杂费500</t>
        </r>
      </text>
    </comment>
    <comment ref="J91" authorId="0">
      <text>
        <r>
          <rPr>
            <sz val="9"/>
            <rFont val="宋体"/>
            <charset val="134"/>
          </rPr>
          <t xml:space="preserve">
26.6.30转对公本金13万+利息2000元。</t>
        </r>
      </text>
    </comment>
    <comment ref="I92" authorId="0">
      <text>
        <r>
          <rPr>
            <sz val="9"/>
            <rFont val="宋体"/>
            <charset val="134"/>
          </rPr>
          <t xml:space="preserve">
返郑桢0.5就是250元.
5月22日出款</t>
        </r>
      </text>
    </comment>
    <comment ref="I93" authorId="0">
      <text>
        <r>
          <rPr>
            <sz val="9"/>
            <rFont val="宋体"/>
            <charset val="134"/>
          </rPr>
          <t xml:space="preserve">
25.6.25还款（提醒吴姐）</t>
        </r>
      </text>
    </comment>
    <comment ref="G97" authorId="0">
      <text>
        <r>
          <rPr>
            <sz val="9"/>
            <rFont val="宋体"/>
            <charset val="134"/>
          </rPr>
          <t xml:space="preserve">
这个时间还本金！
林总答应在续半年。（到12月）</t>
        </r>
      </text>
    </comment>
    <comment ref="I98" authorId="0">
      <text>
        <r>
          <rPr>
            <sz val="9"/>
            <rFont val="宋体"/>
            <charset val="134"/>
          </rPr>
          <t xml:space="preserve">
</t>
        </r>
        <r>
          <rPr>
            <sz val="10"/>
            <rFont val="宋体"/>
            <charset val="134"/>
          </rPr>
          <t>10.28转林总微信5000</t>
        </r>
      </text>
    </comment>
    <comment ref="I102" authorId="0">
      <text>
        <r>
          <rPr>
            <sz val="9"/>
            <rFont val="宋体"/>
            <charset val="134"/>
          </rPr>
          <t>问林总</t>
        </r>
      </text>
    </comment>
    <comment ref="I104" authorId="0">
      <text>
        <r>
          <rPr>
            <sz val="9"/>
            <rFont val="宋体"/>
            <charset val="134"/>
          </rPr>
          <t xml:space="preserve">
返中介1分，就是1000元（中介吴家镕）
柯总：5万（转入吴姐建行）
费用：50000*0.012+300=900元</t>
        </r>
      </text>
    </comment>
    <comment ref="I105" authorId="0">
      <text>
        <r>
          <rPr>
            <sz val="9"/>
            <rFont val="宋体"/>
            <charset val="134"/>
          </rPr>
          <t xml:space="preserve">
25.11.3停御荣府车库
是文冬的单子，按1分给他算，就是700元。</t>
        </r>
      </text>
    </comment>
    <comment ref="I107" authorId="0">
      <text>
        <r>
          <rPr>
            <sz val="9"/>
            <rFont val="宋体"/>
            <charset val="134"/>
          </rPr>
          <t>还款日21号催
每个月转1000</t>
        </r>
      </text>
    </comment>
    <comment ref="J107" authorId="0">
      <text>
        <r>
          <rPr>
            <b/>
            <sz val="9"/>
            <rFont val="宋体"/>
            <charset val="134"/>
          </rPr>
          <t>24.4.10还1万</t>
        </r>
        <r>
          <rPr>
            <sz val="9"/>
            <rFont val="宋体"/>
            <charset val="134"/>
          </rPr>
          <t xml:space="preserve">
</t>
        </r>
      </text>
    </comment>
    <comment ref="I108" authorId="0">
      <text>
        <r>
          <rPr>
            <b/>
            <sz val="9"/>
            <rFont val="宋体"/>
            <charset val="134"/>
          </rPr>
          <t>2.15转典当微信1150，多转25
每个月21号左右转1500元</t>
        </r>
      </text>
    </comment>
    <comment ref="J109" authorId="0">
      <text>
        <r>
          <rPr>
            <sz val="9"/>
            <rFont val="宋体"/>
            <charset val="134"/>
          </rPr>
          <t xml:space="preserve">
26.2.13吴志鑫转20万到林总浦发拼单，利息费用3000元。（26.2.13林总浦发已转）
渠道：陈镔返1分：1分*50万=5000元</t>
        </r>
      </text>
    </comment>
    <comment ref="I110" authorId="0">
      <text>
        <r>
          <rPr>
            <sz val="9"/>
            <rFont val="宋体"/>
            <charset val="134"/>
          </rPr>
          <t xml:space="preserve">
等本等息（24个月）
每个月还本金2083.33+1250=3333.33
不押车。</t>
        </r>
      </text>
    </comment>
    <comment ref="J110" authorId="0">
      <text>
        <r>
          <rPr>
            <sz val="9"/>
            <rFont val="宋体"/>
            <charset val="134"/>
          </rPr>
          <t xml:space="preserve">
26.7.7转林总浦发2083.33+1250（利息）=3333.33
26.8.6转林总浦发2083.33+1250（利息）=3333.33
26.9.6转林总浦发2083.33+1250（利息）=3333.33</t>
        </r>
      </text>
    </comment>
    <comment ref="I11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从2023-12-25开始未付利息</t>
        </r>
      </text>
    </comment>
    <comment ref="J111" authorId="0">
      <text>
        <r>
          <rPr>
            <sz val="9"/>
            <rFont val="宋体"/>
            <charset val="134"/>
          </rPr>
          <t xml:space="preserve">每个月25号这样还3000
</t>
        </r>
      </text>
    </comment>
    <comment ref="I11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还5万</t>
        </r>
      </text>
    </comment>
    <comment ref="J113" authorId="0">
      <text>
        <r>
          <rPr>
            <sz val="9"/>
            <rFont val="宋体"/>
            <charset val="134"/>
          </rPr>
          <t>对公过账，最后转回吴姐建行
之前贷款98万，已转还林总农行
98万+23万=121万*千1*25天=30250
12月4日已转28000
欠2250元
25.7.15转吴姐民生1万元。
26.3月转林总2万元，用来支付26.1月-3月利息5500*3=16500，剩余3500用来还本金。</t>
        </r>
      </text>
    </comment>
    <comment ref="M114" authorId="0">
      <text>
        <r>
          <rPr>
            <sz val="9"/>
            <rFont val="宋体"/>
            <charset val="134"/>
          </rPr>
          <t xml:space="preserve">
每个月8号收息，从11月开始</t>
        </r>
      </text>
    </comment>
    <comment ref="J117" authorId="0">
      <text>
        <r>
          <rPr>
            <sz val="9"/>
            <rFont val="宋体"/>
            <charset val="134"/>
          </rPr>
          <t xml:space="preserve">
26.8.31施鉴玻回收价23188元，借款1.7万，补客户6188元.（未赎当）</t>
        </r>
      </text>
    </comment>
    <comment ref="M117" authorId="0">
      <text>
        <r>
          <rPr>
            <sz val="9"/>
            <rFont val="宋体"/>
            <charset val="134"/>
          </rPr>
          <t xml:space="preserve">
26.7.23典当微信收425元</t>
        </r>
      </text>
    </comment>
    <comment ref="I120" authorId="0">
      <text>
        <r>
          <rPr>
            <sz val="9"/>
            <rFont val="宋体"/>
            <charset val="134"/>
          </rPr>
          <t xml:space="preserve">
从3.15开始每月归还3500本金+利息</t>
        </r>
      </text>
    </comment>
    <comment ref="J120" authorId="0">
      <text>
        <r>
          <rPr>
            <sz val="9"/>
            <rFont val="宋体"/>
            <charset val="134"/>
          </rPr>
          <t xml:space="preserve">
26.3.16转3500本金到对公。
26.4.14转3500本金到对公。（外账那边是挂账）</t>
        </r>
      </text>
    </comment>
    <comment ref="I124" authorId="0">
      <text>
        <r>
          <rPr>
            <sz val="9"/>
            <rFont val="宋体"/>
            <charset val="134"/>
          </rPr>
          <t xml:space="preserve">
二押
</t>
        </r>
      </text>
    </comment>
    <comment ref="J124" authorId="0">
      <text>
        <r>
          <rPr>
            <b/>
            <sz val="9"/>
            <rFont val="宋体"/>
            <charset val="134"/>
          </rPr>
          <t xml:space="preserve">
实际出款50万
利息1.6%，杂费2000
黄福恩出款20万，（8.26已转给林总建行） 26.8.21转黄福恩本金款8万，剩余12万元！
公司30万。
每个月转2800给福恩（按1.4%分）
26.1.29转对公20万。
从25.11月起未付利息，截止到26.3月，共计5个月利息
5*8000=4万元
20-4万=16万是本金
截止到26.3月本金还欠34万
涂志高借款20万，月息1.4%
25.11月-26.3月利息合计：2800*5=14000
26.3.6转入17600元。
26.4月-6月利息：5440*3=16320元（剩余：17600-16320=1280元）
</t>
        </r>
      </text>
    </comment>
    <comment ref="L125" authorId="0">
      <text>
        <r>
          <rPr>
            <sz val="9"/>
            <rFont val="宋体"/>
            <charset val="134"/>
          </rPr>
          <t xml:space="preserve">
原当票号：3524019238（开具的40万未做抵押，合并到70万当票去），此张当票已作废处理。
现当票：3524019243</t>
        </r>
      </text>
    </comment>
    <comment ref="F126" authorId="0">
      <text>
        <r>
          <rPr>
            <sz val="9"/>
            <rFont val="宋体"/>
            <charset val="134"/>
          </rPr>
          <t>实际出款26年7月27日，出款20万
当票和26年7月16日合开一笔，共计70万</t>
        </r>
      </text>
    </comment>
    <comment ref="I129" authorId="0">
      <text>
        <r>
          <rPr>
            <sz val="9"/>
            <rFont val="宋体"/>
            <charset val="134"/>
          </rPr>
          <t xml:space="preserve">
26.2.1车子停御龙府。</t>
        </r>
      </text>
    </comment>
    <comment ref="I131" authorId="0">
      <text>
        <r>
          <rPr>
            <sz val="9"/>
            <rFont val="宋体"/>
            <charset val="134"/>
          </rPr>
          <t xml:space="preserve">借款人黄成真
18805919588
</t>
        </r>
      </text>
    </comment>
    <comment ref="J131" authorId="0">
      <text>
        <r>
          <rPr>
            <sz val="9"/>
            <rFont val="宋体"/>
            <charset val="134"/>
          </rPr>
          <t xml:space="preserve">
25.10.23典当通操作还款16万（25.10.17转到林总浦发16万）
25.9.29刘兰军转了19万到林总建行。（典当通未操作还款）
26.7.31林总浦发转典当对公10万，26.8.4已经典当通操作还款10万。（剩余9万未操作还款）</t>
        </r>
      </text>
    </comment>
    <comment ref="J132" authorId="0">
      <text>
        <r>
          <rPr>
            <b/>
            <sz val="9"/>
            <rFont val="宋体"/>
            <charset val="134"/>
          </rPr>
          <t xml:space="preserve">
跟合创汇中典当拼单，一人15万，微信找彭茂勇
后置利息！！
转彭茂勇2400元</t>
        </r>
      </text>
    </comment>
    <comment ref="I134" authorId="0">
      <text>
        <r>
          <rPr>
            <sz val="9"/>
            <rFont val="宋体"/>
            <charset val="134"/>
          </rPr>
          <t xml:space="preserve">
每月25日还3000元。</t>
        </r>
      </text>
    </comment>
    <comment ref="I13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7.26还3万
</t>
        </r>
      </text>
    </comment>
    <comment ref="F138" authorId="0">
      <text>
        <r>
          <rPr>
            <b/>
            <sz val="9"/>
            <rFont val="宋体"/>
            <charset val="134"/>
          </rPr>
          <t>4.8放款</t>
        </r>
      </text>
    </comment>
    <comment ref="J138" authorId="0">
      <text>
        <r>
          <rPr>
            <b/>
            <sz val="9"/>
            <rFont val="宋体"/>
            <charset val="134"/>
          </rPr>
          <t>5.7还本金5000</t>
        </r>
        <r>
          <rPr>
            <sz val="9"/>
            <rFont val="宋体"/>
            <charset val="134"/>
          </rPr>
          <t xml:space="preserve">
6.7还本金5000（典当通挂账）
7.7还本金5000（典当通挂账）
8.7还本金5000（典当通挂账）</t>
        </r>
      </text>
    </comment>
    <comment ref="M138" authorId="0">
      <text>
        <r>
          <rPr>
            <sz val="9"/>
            <rFont val="宋体"/>
            <charset val="134"/>
          </rPr>
          <t xml:space="preserve">利息2.5分
杂费2000
</t>
        </r>
      </text>
    </comment>
    <comment ref="J141" authorId="0">
      <text>
        <r>
          <rPr>
            <sz val="9"/>
            <rFont val="宋体"/>
            <charset val="134"/>
          </rPr>
          <t xml:space="preserve">
26.7.20转入对公账户3万元。
</t>
        </r>
      </text>
    </comment>
    <comment ref="I14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起诉</t>
        </r>
      </text>
    </comment>
    <comment ref="I144" authorId="0">
      <text>
        <r>
          <rPr>
            <sz val="9"/>
            <rFont val="宋体"/>
            <charset val="134"/>
          </rPr>
          <t>按2年还本：80000/24=3333
1.5息：1200
每个月还本息：3333+1200=4533</t>
        </r>
      </text>
    </comment>
    <comment ref="I146" authorId="0">
      <text>
        <r>
          <rPr>
            <sz val="9"/>
            <rFont val="宋体"/>
            <charset val="134"/>
          </rPr>
          <t xml:space="preserve">
律师费：6000
诉讼费：7775
合计：13775
12月4日吴灵铭还本金26000
按30%算，（26000-13775）*30%=3667.5（12月23日典当微信退还黄立斌）
</t>
        </r>
      </text>
    </comment>
    <comment ref="J146" authorId="0">
      <text>
        <r>
          <rPr>
            <sz val="9"/>
            <rFont val="宋体"/>
            <charset val="134"/>
          </rPr>
          <t xml:space="preserve">
2024.12.4从魏文冬结算中 扣下26000元。
2025.1.26吴灵铭转入典当微信10000元。</t>
        </r>
      </text>
    </comment>
    <comment ref="I147" authorId="0">
      <text>
        <r>
          <rPr>
            <sz val="9"/>
            <rFont val="宋体"/>
            <charset val="134"/>
          </rPr>
          <t>福鼎出资5万10月27日转吴姐民生</t>
        </r>
      </text>
    </comment>
    <comment ref="J147" authorId="0">
      <text>
        <r>
          <rPr>
            <sz val="9"/>
            <rFont val="宋体"/>
            <charset val="134"/>
          </rPr>
          <t xml:space="preserve">黄立斌出资9万
</t>
        </r>
      </text>
    </comment>
    <comment ref="I150" authorId="0">
      <text>
        <r>
          <rPr>
            <sz val="9"/>
            <rFont val="宋体"/>
            <charset val="134"/>
          </rPr>
          <t xml:space="preserve">
每个月给林文福4厘，就是1600元</t>
        </r>
      </text>
    </comment>
    <comment ref="I154" authorId="0">
      <text>
        <r>
          <rPr>
            <sz val="9"/>
            <rFont val="宋体"/>
            <charset val="134"/>
          </rPr>
          <t xml:space="preserve">
贷款车，还欠49万。</t>
        </r>
      </text>
    </comment>
    <comment ref="I15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中秋节还本金
</t>
        </r>
      </text>
    </comment>
    <comment ref="J156" authorId="0">
      <text>
        <r>
          <rPr>
            <sz val="9"/>
            <rFont val="宋体"/>
            <charset val="134"/>
          </rPr>
          <t xml:space="preserve">
26.5.28转入典当对公4500元。</t>
        </r>
      </text>
    </comment>
    <comment ref="I157" authorId="0">
      <text>
        <r>
          <rPr>
            <sz val="11"/>
            <rFont val="宋体"/>
            <charset val="134"/>
          </rPr>
          <t>个人借款10月11日，收息按照10月11日收。</t>
        </r>
        <r>
          <rPr>
            <sz val="9"/>
            <rFont val="宋体"/>
            <charset val="134"/>
          </rPr>
          <t xml:space="preserve">
10月25日的20万是过账。</t>
        </r>
      </text>
    </comment>
    <comment ref="J159" authorId="0">
      <text>
        <r>
          <rPr>
            <sz val="10"/>
            <rFont val="宋体"/>
            <charset val="134"/>
          </rPr>
          <t>10.15在借款5万，扣除13万利息3250+6万利息2000，扣除5万利息1250，打款43500元
25.7.14转本金1万到典当微信（未还典当对公）
客户答应26.12.30前还本金！！</t>
        </r>
      </text>
    </comment>
    <comment ref="J162" authorId="0">
      <text>
        <r>
          <rPr>
            <sz val="9"/>
            <rFont val="宋体"/>
            <charset val="134"/>
          </rPr>
          <t xml:space="preserve">
5月30日叶敏利息5200元已转林总微信。
返1分息给唐嘉，就是2080元。</t>
        </r>
      </text>
    </comment>
    <comment ref="J166" authorId="0">
      <text>
        <r>
          <rPr>
            <sz val="9"/>
            <rFont val="宋体"/>
            <charset val="134"/>
          </rPr>
          <t xml:space="preserve">
实际出款时间：26.7.31出款6万
20万费用4600全收+杂费2000+陈建华利息5000=11600已转林总浦发
26.8.4出款14万</t>
        </r>
      </text>
    </comment>
    <comment ref="F170" authorId="0">
      <text>
        <r>
          <rPr>
            <sz val="9"/>
            <rFont val="宋体"/>
            <charset val="134"/>
          </rPr>
          <t xml:space="preserve"> 
当票是9.11日开的
</t>
        </r>
      </text>
    </comment>
    <comment ref="I173" authorId="0">
      <text>
        <r>
          <rPr>
            <sz val="9"/>
            <rFont val="宋体"/>
            <charset val="134"/>
          </rPr>
          <t xml:space="preserve">
杂费3000元（10.12林总支付宝已收）
利息2.5分</t>
        </r>
      </text>
    </comment>
    <comment ref="J180" authorId="0">
      <text>
        <r>
          <rPr>
            <sz val="9"/>
            <rFont val="宋体"/>
            <charset val="134"/>
          </rPr>
          <t xml:space="preserve">
9.6还款5万
26.2.13还款本金2250元+利息1250元。
26.3.20还款本金2250元+利息1250元。
26.4.29还款本金2250元+利息1250元。
26.5.16还款本金2250元+利息1250元。
26.6.15还款本金2250元+利息1250元。
26.7.16还款本金2250元+利息1250元。
26.8.29还利息920元。</t>
        </r>
      </text>
    </comment>
    <comment ref="I182" authorId="0">
      <text>
        <r>
          <rPr>
            <sz val="9"/>
            <rFont val="宋体"/>
            <charset val="134"/>
          </rPr>
          <t xml:space="preserve">郑强：13950408136
</t>
        </r>
      </text>
    </comment>
    <comment ref="J18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5.23还本金5000元，6.22还本金35000元
26.3.20转入1万到对公。
26.3.21转入1万到对公。</t>
        </r>
      </text>
    </comment>
    <comment ref="G183" authorId="0">
      <text>
        <r>
          <rPr>
            <sz val="9"/>
            <rFont val="宋体"/>
            <charset val="134"/>
          </rPr>
          <t xml:space="preserve">
借款2个月
</t>
        </r>
      </text>
    </comment>
    <comment ref="J192" authorId="0">
      <text>
        <r>
          <rPr>
            <sz val="9"/>
            <rFont val="宋体"/>
            <charset val="134"/>
          </rPr>
          <t xml:space="preserve">
原借款12万，25.1.25还款2万，剩余10万
26.8.28还对公7万+吴姐建行6.8万（还未还对公）
10万利息：3月27日-8月27日，6个月*2500=15000
2万利息：5月7日-8月7日：3个月*500=1500
总合计利息：16500元
滞纳金收取2000元
本金12万+利息16500+滞纳金1500=138000元</t>
        </r>
      </text>
    </comment>
    <comment ref="J193" authorId="0">
      <text>
        <r>
          <rPr>
            <sz val="9"/>
            <rFont val="宋体"/>
            <charset val="134"/>
          </rPr>
          <t xml:space="preserve">
26.4.29转1万，按这个时间收息250元。
26.5.6转1万，按这个时间收息250元</t>
        </r>
      </text>
    </comment>
    <comment ref="I194" authorId="0">
      <text>
        <r>
          <rPr>
            <sz val="9"/>
            <rFont val="宋体"/>
            <charset val="134"/>
          </rPr>
          <t xml:space="preserve">个人借款还欠79万，转到典当来。
25.4.27打款5万到林总建行（这5万拿来抵扣4-5月利息）剩余1万冲减本金，剩余本金79万。
因为是后置利息，所以个人借款那边还有6.7月利息2个月共计4万元
</t>
        </r>
      </text>
    </comment>
    <comment ref="F195" authorId="0">
      <text>
        <r>
          <rPr>
            <b/>
            <sz val="9"/>
            <rFont val="宋体"/>
            <charset val="134"/>
          </rPr>
          <t>3.10出款55万</t>
        </r>
        <r>
          <rPr>
            <sz val="9"/>
            <rFont val="宋体"/>
            <charset val="134"/>
          </rPr>
          <t xml:space="preserve">
</t>
        </r>
      </text>
    </comment>
    <comment ref="I195" authorId="0">
      <text>
        <r>
          <rPr>
            <b/>
            <sz val="9"/>
            <rFont val="宋体"/>
            <charset val="134"/>
          </rPr>
          <t>5月利息到的时候催本金
续当到9月2日
25.11.25续当费用5000元转林总微信。</t>
        </r>
      </text>
    </comment>
    <comment ref="J195" authorId="0">
      <text>
        <r>
          <rPr>
            <sz val="9"/>
            <rFont val="宋体"/>
            <charset val="134"/>
          </rPr>
          <t xml:space="preserve">
26.4.15转对公30万</t>
        </r>
      </text>
    </comment>
    <comment ref="M195" authorId="0">
      <text>
        <r>
          <rPr>
            <sz val="9"/>
            <rFont val="宋体"/>
            <charset val="134"/>
          </rPr>
          <t>3.10吴姐建行收13750
3.7典当微信收1000杂费</t>
        </r>
      </text>
    </comment>
    <comment ref="G197" authorId="0">
      <text>
        <r>
          <rPr>
            <sz val="9"/>
            <rFont val="宋体"/>
            <charset val="134"/>
          </rPr>
          <t xml:space="preserve">
借款2个月，无抵押，后置息！！</t>
        </r>
      </text>
    </comment>
    <comment ref="I19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12.14要还进本金
转吴姐个人账户
再续两个月2月份还本</t>
        </r>
      </text>
    </comment>
    <comment ref="I200" authorId="0">
      <text>
        <r>
          <rPr>
            <sz val="9"/>
            <rFont val="宋体"/>
            <charset val="134"/>
          </rPr>
          <t xml:space="preserve">客户从25.5月开始
每个月25号还3000元
</t>
        </r>
      </text>
    </comment>
    <comment ref="I201" authorId="0">
      <text>
        <r>
          <rPr>
            <sz val="9"/>
            <rFont val="宋体"/>
            <charset val="134"/>
          </rPr>
          <t xml:space="preserve">连江房产
</t>
        </r>
      </text>
    </comment>
  </commentList>
</comments>
</file>

<file path=xl/comments3.xml><?xml version="1.0" encoding="utf-8"?>
<comments xmlns="http://schemas.openxmlformats.org/spreadsheetml/2006/main">
  <authors>
    <author>Administrator</author>
  </authors>
  <commentList>
    <comment ref="E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虚的，抵押物品：名品</t>
        </r>
      </text>
    </comment>
    <comment ref="E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已起诉未执行</t>
        </r>
      </text>
    </comment>
  </commentList>
</comments>
</file>

<file path=xl/sharedStrings.xml><?xml version="1.0" encoding="utf-8"?>
<sst xmlns="http://schemas.openxmlformats.org/spreadsheetml/2006/main" count="1209" uniqueCount="245">
  <si>
    <t xml:space="preserve">          金辉典当登记表不动产</t>
  </si>
  <si>
    <t>9月</t>
  </si>
  <si>
    <t>名称</t>
  </si>
  <si>
    <t>状态</t>
  </si>
  <si>
    <t>当票日期</t>
  </si>
  <si>
    <t>当票到期日</t>
  </si>
  <si>
    <t>客户姓名</t>
  </si>
  <si>
    <t>客户电话</t>
  </si>
  <si>
    <t>典当金额</t>
  </si>
  <si>
    <t>当票号</t>
  </si>
  <si>
    <t>应收金额</t>
  </si>
  <si>
    <t>对公</t>
  </si>
  <si>
    <t>林总</t>
  </si>
  <si>
    <t>建行/民生</t>
  </si>
  <si>
    <t>微信</t>
  </si>
  <si>
    <t>违约金</t>
  </si>
  <si>
    <t>合计</t>
  </si>
  <si>
    <t>应付利息日</t>
  </si>
  <si>
    <t>实际付利息日</t>
  </si>
  <si>
    <t>逾期</t>
  </si>
  <si>
    <t>应收滞纳金</t>
  </si>
  <si>
    <t>典当系统</t>
  </si>
  <si>
    <t>开票金额</t>
  </si>
  <si>
    <t>出款日期</t>
  </si>
  <si>
    <t>付息方式</t>
  </si>
  <si>
    <t>回款时间</t>
  </si>
  <si>
    <t>回金额</t>
  </si>
  <si>
    <t>不动产</t>
  </si>
  <si>
    <t>起诉</t>
  </si>
  <si>
    <t>李佳敏</t>
  </si>
  <si>
    <t>先息</t>
  </si>
  <si>
    <t>车位</t>
  </si>
  <si>
    <t>在当</t>
  </si>
  <si>
    <t>方楚钰</t>
  </si>
  <si>
    <t>王晓红</t>
  </si>
  <si>
    <t>罗淑珍</t>
  </si>
  <si>
    <t>郭联兵</t>
  </si>
  <si>
    <t>郑大可</t>
  </si>
  <si>
    <t>念武</t>
  </si>
  <si>
    <t>结款未赎</t>
  </si>
  <si>
    <t>郑祥波</t>
  </si>
  <si>
    <t>有两万未回典当对公</t>
  </si>
  <si>
    <t>周晓斌</t>
  </si>
  <si>
    <t>起诉还款</t>
  </si>
  <si>
    <t>朱俊良</t>
  </si>
  <si>
    <t>吴灵铭</t>
  </si>
  <si>
    <t>陈勇</t>
  </si>
  <si>
    <t>房产</t>
  </si>
  <si>
    <t>朱颜</t>
  </si>
  <si>
    <t>林华</t>
  </si>
  <si>
    <t>林晓霞</t>
  </si>
  <si>
    <t>何松</t>
  </si>
  <si>
    <t>黄平香</t>
  </si>
  <si>
    <t>姚民威</t>
  </si>
  <si>
    <t>11月开始这笔就是5万，利息2.5%，就是1250元</t>
  </si>
  <si>
    <t>杨惠慧（徐波）</t>
  </si>
  <si>
    <t>章俊</t>
  </si>
  <si>
    <t>陈锦珍</t>
  </si>
  <si>
    <t>名品</t>
  </si>
  <si>
    <t>虚当</t>
  </si>
  <si>
    <t>陈乐贵</t>
  </si>
  <si>
    <t>后息</t>
  </si>
  <si>
    <t>王建南</t>
  </si>
  <si>
    <t>动产</t>
  </si>
  <si>
    <t>柯志宏</t>
  </si>
  <si>
    <t>25.2.20还吴姐建行，未还典当</t>
  </si>
  <si>
    <t>潘立文</t>
  </si>
  <si>
    <t>郑永贵</t>
  </si>
  <si>
    <t>方士雯</t>
  </si>
  <si>
    <t>王毅</t>
  </si>
  <si>
    <t>陈跃飞</t>
  </si>
  <si>
    <t>郑怡</t>
  </si>
  <si>
    <t>涂志高</t>
  </si>
  <si>
    <t>潘淑萍</t>
  </si>
  <si>
    <t>胡建通</t>
  </si>
  <si>
    <t>林昌耿</t>
  </si>
  <si>
    <t>王晶琰</t>
  </si>
  <si>
    <t>陈征</t>
  </si>
  <si>
    <t>汤静</t>
  </si>
  <si>
    <t>林浩</t>
  </si>
  <si>
    <t>马昱</t>
  </si>
  <si>
    <t>黄金</t>
  </si>
  <si>
    <t>廖浴波</t>
  </si>
  <si>
    <t>林鹏</t>
  </si>
  <si>
    <t>包包</t>
  </si>
  <si>
    <t>魏洁</t>
  </si>
  <si>
    <t>车子</t>
  </si>
  <si>
    <t>陈忠军</t>
  </si>
  <si>
    <t>叶敏</t>
  </si>
  <si>
    <t>陈建华</t>
  </si>
  <si>
    <t>魏文冬</t>
  </si>
  <si>
    <t>何博文</t>
  </si>
  <si>
    <t>手表</t>
  </si>
  <si>
    <t>黄远枝</t>
  </si>
  <si>
    <t>蒙媛媛</t>
  </si>
  <si>
    <t>汪琼宇</t>
  </si>
  <si>
    <t>施鉴波</t>
  </si>
  <si>
    <t>叶守芳</t>
  </si>
  <si>
    <t>黄飞</t>
  </si>
  <si>
    <t>林凯鑫</t>
  </si>
  <si>
    <t>曾云</t>
  </si>
  <si>
    <t>张帆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</si>
  <si>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</si>
  <si>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客户典当登记表</t>
  </si>
  <si>
    <t>序 号</t>
  </si>
  <si>
    <t>抵押机构</t>
  </si>
  <si>
    <t>抵押物品</t>
  </si>
  <si>
    <t>已还本金</t>
  </si>
  <si>
    <t>详情</t>
  </si>
  <si>
    <t>利息日</t>
  </si>
  <si>
    <t>个人借款</t>
  </si>
  <si>
    <t>LV包包</t>
  </si>
  <si>
    <t>曹玉洁</t>
  </si>
  <si>
    <t>曾光雄</t>
  </si>
  <si>
    <t>金辉典当</t>
  </si>
  <si>
    <t>常虹</t>
  </si>
  <si>
    <t>结款（个人）</t>
  </si>
  <si>
    <t>陈承辉</t>
  </si>
  <si>
    <t>陈大鑫</t>
  </si>
  <si>
    <t>陈东</t>
  </si>
  <si>
    <t>黄金+钻戒</t>
  </si>
  <si>
    <t>陈福荣</t>
  </si>
  <si>
    <t>逾期-未起诉</t>
  </si>
  <si>
    <t>陈景昭</t>
  </si>
  <si>
    <t>股票配资</t>
  </si>
  <si>
    <t>陈立</t>
  </si>
  <si>
    <t>陈隆鑫</t>
  </si>
  <si>
    <t>陈敏峰</t>
  </si>
  <si>
    <t>私人借款</t>
  </si>
  <si>
    <t>在当-无息</t>
  </si>
  <si>
    <t>陈庆生</t>
  </si>
  <si>
    <t>陈秋龙</t>
  </si>
  <si>
    <t>池鸿</t>
  </si>
  <si>
    <t>董智宇</t>
  </si>
  <si>
    <t>杜若</t>
  </si>
  <si>
    <t>个人账户收款2500元/月</t>
  </si>
  <si>
    <t>渠道</t>
  </si>
  <si>
    <t>转林木英1250元/月</t>
  </si>
  <si>
    <t>高文玉</t>
  </si>
  <si>
    <t>张妍</t>
  </si>
  <si>
    <t>黄发锦</t>
  </si>
  <si>
    <t>玉佩</t>
  </si>
  <si>
    <t>黄军</t>
  </si>
  <si>
    <t>黄长燕</t>
  </si>
  <si>
    <t>纪昌杰</t>
  </si>
  <si>
    <t>无法回款</t>
  </si>
  <si>
    <t>纪文瑞</t>
  </si>
  <si>
    <t>姜玉枝</t>
  </si>
  <si>
    <t>蒋淋淋</t>
  </si>
  <si>
    <t>解押/过桥</t>
  </si>
  <si>
    <t>柯重文</t>
  </si>
  <si>
    <t>李北茉</t>
  </si>
  <si>
    <t>李元</t>
  </si>
  <si>
    <t>李忠浩</t>
  </si>
  <si>
    <t>车子已售卖，售价1.6万，回款在林总建行</t>
  </si>
  <si>
    <t>黄金+手表</t>
  </si>
  <si>
    <t>林斌</t>
  </si>
  <si>
    <t>无抵押借款</t>
  </si>
  <si>
    <t>钻戒</t>
  </si>
  <si>
    <t>林芬</t>
  </si>
  <si>
    <t>林惠明</t>
  </si>
  <si>
    <t>林剑凡</t>
  </si>
  <si>
    <t>林俊行</t>
  </si>
  <si>
    <t>对公收利息</t>
  </si>
  <si>
    <t>林瑞腾</t>
  </si>
  <si>
    <t>林文福</t>
  </si>
  <si>
    <t>林文维</t>
  </si>
  <si>
    <t>林燕</t>
  </si>
  <si>
    <t>林总账户</t>
  </si>
  <si>
    <t>刘署明</t>
  </si>
  <si>
    <t>刘万富</t>
  </si>
  <si>
    <t>押车</t>
  </si>
  <si>
    <t>刘振祥</t>
  </si>
  <si>
    <t>陆林广</t>
  </si>
  <si>
    <t>罗如彬</t>
  </si>
  <si>
    <t>钱蔚宏</t>
  </si>
  <si>
    <t>24K黄金+18K</t>
  </si>
  <si>
    <t>秦国发</t>
  </si>
  <si>
    <t>26.8.28卖车款18500已转林总建行</t>
  </si>
  <si>
    <t>宋磊华</t>
  </si>
  <si>
    <t>孙长健</t>
  </si>
  <si>
    <t>法拍垫资</t>
  </si>
  <si>
    <t>汤丽娇</t>
  </si>
  <si>
    <t>唐俊俊</t>
  </si>
  <si>
    <t>赎当</t>
  </si>
  <si>
    <t>王斌</t>
  </si>
  <si>
    <t>王东璘</t>
  </si>
  <si>
    <t>王海龙</t>
  </si>
  <si>
    <t>个人账户收款5400元/月，转彭茂勇2400元/月</t>
  </si>
  <si>
    <t>王娟</t>
  </si>
  <si>
    <t>王鹭杭</t>
  </si>
  <si>
    <t>王楠鑫</t>
  </si>
  <si>
    <t>魏成龙</t>
  </si>
  <si>
    <t>翁嘉明</t>
  </si>
  <si>
    <t>吴彬</t>
  </si>
  <si>
    <t>吴吉翔</t>
  </si>
  <si>
    <t>吴丽玲</t>
  </si>
  <si>
    <t>吴水明</t>
  </si>
  <si>
    <t>吴伟鸿</t>
  </si>
  <si>
    <t>夏薇薇</t>
  </si>
  <si>
    <t>谢恩正</t>
  </si>
  <si>
    <t>手机</t>
  </si>
  <si>
    <t>苹果手机17</t>
  </si>
  <si>
    <t>徐昊昱</t>
  </si>
  <si>
    <t>严为志</t>
  </si>
  <si>
    <t>杨繁</t>
  </si>
  <si>
    <t>杨眉/陈雨荷</t>
  </si>
  <si>
    <t>叶金</t>
  </si>
  <si>
    <t>叶榕</t>
  </si>
  <si>
    <t>叶银</t>
  </si>
  <si>
    <t>游金铭</t>
  </si>
  <si>
    <t>张建云</t>
  </si>
  <si>
    <t>张黎晖</t>
  </si>
  <si>
    <t>张品洲</t>
  </si>
  <si>
    <t>张天龙</t>
  </si>
  <si>
    <t>24K黄金</t>
  </si>
  <si>
    <t>赵彤欣</t>
  </si>
  <si>
    <t>郑丽清</t>
  </si>
  <si>
    <t>郑庆民</t>
  </si>
  <si>
    <t>寿山石</t>
  </si>
  <si>
    <t>白金</t>
  </si>
  <si>
    <t>车贷-没押车</t>
  </si>
  <si>
    <t>郑万楼</t>
  </si>
  <si>
    <t xml:space="preserve">郑伟健 </t>
  </si>
  <si>
    <t>绝当未处置</t>
  </si>
  <si>
    <t>郑永键</t>
  </si>
  <si>
    <t>钟红秀</t>
  </si>
  <si>
    <t>邹振辉</t>
  </si>
  <si>
    <t>序号</t>
  </si>
  <si>
    <t>机 构</t>
  </si>
  <si>
    <t>明道典当</t>
  </si>
  <si>
    <t>个人</t>
  </si>
  <si>
    <t>身份证号</t>
  </si>
  <si>
    <t>状 态</t>
  </si>
  <si>
    <t>当票金额</t>
  </si>
  <si>
    <t>出款金额</t>
  </si>
  <si>
    <t>应收利息</t>
  </si>
  <si>
    <t>备注</t>
  </si>
  <si>
    <t>收/付明细表</t>
  </si>
  <si>
    <t>日 期</t>
  </si>
  <si>
    <t>公司账户</t>
  </si>
  <si>
    <t>收/支项目类别</t>
  </si>
  <si>
    <t>摘  要</t>
  </si>
  <si>
    <t>收入金额</t>
  </si>
  <si>
    <t>支出金额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</si>
</sst>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/mm/dd;@"/>
    <numFmt numFmtId="177" formatCode="#,##0_ "/>
    <numFmt numFmtId="178" formatCode="0.00_ "/>
    <numFmt numFmtId="179" formatCode="0_ "/>
    <numFmt numFmtId="180" formatCode="[=0]&quot;&quot;;General"/>
    <numFmt numFmtId="181" formatCode="000\-0000\-0000"/>
  </numFmts>
  <fonts count="40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8"/>
      <name val="宋体"/>
      <charset val="134"/>
      <scheme val="minor"/>
    </font>
    <font>
      <b/>
      <sz val="12"/>
      <name val="微软雅黑"/>
      <charset val="134"/>
    </font>
    <font>
      <sz val="10"/>
      <name val="微软雅黑"/>
      <charset val="134"/>
    </font>
    <font>
      <sz val="12"/>
      <color theme="1"/>
      <name val="宋体"/>
      <charset val="134"/>
    </font>
    <font>
      <sz val="10"/>
      <color theme="1"/>
      <name val="宋体"/>
      <charset val="134"/>
    </font>
    <font>
      <b/>
      <sz val="16"/>
      <color theme="1"/>
      <name val="Microsoft YaHei"/>
      <charset val="134"/>
    </font>
    <font>
      <b/>
      <sz val="10"/>
      <color theme="1"/>
      <name val="Microsoft YaHei"/>
      <charset val="134"/>
    </font>
    <font>
      <b/>
      <sz val="12"/>
      <color theme="1"/>
      <name val="Microsoft YaHei"/>
      <charset val="134"/>
    </font>
    <font>
      <sz val="10"/>
      <color theme="1"/>
      <name val="Microsoft YaHei"/>
      <charset val="134"/>
    </font>
    <font>
      <sz val="10"/>
      <color theme="1"/>
      <name val="微软雅黑"/>
      <charset val="134"/>
    </font>
    <font>
      <sz val="10"/>
      <color rgb="FFFF0000"/>
      <name val="微软雅黑"/>
      <charset val="134"/>
    </font>
    <font>
      <sz val="11"/>
      <color theme="1"/>
      <name val="宋体"/>
      <charset val="134"/>
    </font>
    <font>
      <b/>
      <sz val="12"/>
      <color theme="1"/>
      <name val="宋体"/>
      <charset val="134"/>
    </font>
    <font>
      <b/>
      <sz val="11"/>
      <color theme="1"/>
      <name val="Microsoft YaHei"/>
      <charset val="134"/>
    </font>
    <font>
      <sz val="9"/>
      <color theme="1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  <font>
      <sz val="10"/>
      <name val="宋体"/>
      <charset val="134"/>
    </font>
    <font>
      <sz val="11"/>
      <name val="宋体"/>
      <charset val="134"/>
    </font>
  </fonts>
  <fills count="39">
    <fill>
      <patternFill patternType="none"/>
    </fill>
    <fill>
      <patternFill patternType="gray125"/>
    </fill>
    <fill>
      <patternFill patternType="solid">
        <fgColor theme="8" tint="0.6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8" borderId="8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9" borderId="11" applyNumberFormat="0" applyAlignment="0" applyProtection="0">
      <alignment vertical="center"/>
    </xf>
    <xf numFmtId="0" fontId="26" fillId="10" borderId="12" applyNumberFormat="0" applyAlignment="0" applyProtection="0">
      <alignment vertical="center"/>
    </xf>
    <xf numFmtId="0" fontId="27" fillId="10" borderId="11" applyNumberFormat="0" applyAlignment="0" applyProtection="0">
      <alignment vertical="center"/>
    </xf>
    <xf numFmtId="0" fontId="28" fillId="11" borderId="13" applyNumberFormat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4" fillId="38" borderId="0" applyNumberFormat="0" applyBorder="0" applyAlignment="0" applyProtection="0">
      <alignment vertical="center"/>
    </xf>
  </cellStyleXfs>
  <cellXfs count="11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Continuous" vertical="center"/>
    </xf>
    <xf numFmtId="0" fontId="2" fillId="0" borderId="0" xfId="0" applyFont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176" fontId="3" fillId="3" borderId="0" xfId="0" applyNumberFormat="1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4" fillId="4" borderId="0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6" fillId="5" borderId="0" xfId="0" applyFont="1" applyFill="1" applyBorder="1" applyAlignment="1">
      <alignment horizontal="center" vertical="center"/>
    </xf>
    <xf numFmtId="0" fontId="6" fillId="6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176" fontId="6" fillId="0" borderId="0" xfId="0" applyNumberFormat="1" applyFont="1" applyFill="1" applyBorder="1" applyAlignment="1">
      <alignment horizontal="center" vertical="center"/>
    </xf>
    <xf numFmtId="14" fontId="7" fillId="0" borderId="1" xfId="0" applyNumberFormat="1" applyFont="1" applyFill="1" applyBorder="1" applyAlignment="1">
      <alignment horizontal="center" vertical="center" wrapText="1"/>
    </xf>
    <xf numFmtId="176" fontId="7" fillId="0" borderId="1" xfId="0" applyNumberFormat="1" applyFont="1" applyFill="1" applyBorder="1" applyAlignment="1">
      <alignment horizontal="center" vertical="center" wrapText="1"/>
    </xf>
    <xf numFmtId="176" fontId="8" fillId="0" borderId="1" xfId="0" applyNumberFormat="1" applyFont="1" applyFill="1" applyBorder="1" applyAlignment="1">
      <alignment horizontal="center" vertical="center" wrapText="1"/>
    </xf>
    <xf numFmtId="14" fontId="7" fillId="0" borderId="1" xfId="0" applyNumberFormat="1" applyFont="1" applyFill="1" applyBorder="1" applyAlignment="1">
      <alignment horizontal="center" vertical="center"/>
    </xf>
    <xf numFmtId="10" fontId="8" fillId="0" borderId="1" xfId="0" applyNumberFormat="1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 wrapText="1"/>
    </xf>
    <xf numFmtId="176" fontId="9" fillId="0" borderId="1" xfId="0" applyNumberFormat="1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/>
    </xf>
    <xf numFmtId="10" fontId="9" fillId="0" borderId="1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 wrapText="1"/>
    </xf>
    <xf numFmtId="176" fontId="10" fillId="0" borderId="1" xfId="0" applyNumberFormat="1" applyFont="1" applyFill="1" applyBorder="1" applyAlignment="1">
      <alignment horizontal="center" vertical="center" wrapText="1"/>
    </xf>
    <xf numFmtId="14" fontId="4" fillId="0" borderId="1" xfId="0" applyNumberFormat="1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10" fillId="0" borderId="1" xfId="0" applyNumberFormat="1" applyFont="1" applyFill="1" applyBorder="1" applyAlignment="1">
      <alignment horizontal="center" vertical="center" wrapText="1"/>
    </xf>
    <xf numFmtId="0" fontId="6" fillId="0" borderId="1" xfId="0" applyNumberFormat="1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10" fontId="10" fillId="0" borderId="1" xfId="0" applyNumberFormat="1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176" fontId="10" fillId="5" borderId="1" xfId="0" applyNumberFormat="1" applyFont="1" applyFill="1" applyBorder="1" applyAlignment="1">
      <alignment horizontal="center" vertical="center" wrapText="1"/>
    </xf>
    <xf numFmtId="14" fontId="12" fillId="5" borderId="1" xfId="0" applyNumberFormat="1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10" fillId="5" borderId="1" xfId="0" applyNumberFormat="1" applyFont="1" applyFill="1" applyBorder="1" applyAlignment="1">
      <alignment horizontal="center" vertical="center" wrapText="1"/>
    </xf>
    <xf numFmtId="0" fontId="6" fillId="5" borderId="1" xfId="0" applyNumberFormat="1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10" fontId="10" fillId="5" borderId="1" xfId="0" applyNumberFormat="1" applyFont="1" applyFill="1" applyBorder="1" applyAlignment="1">
      <alignment horizontal="center" vertical="center" wrapText="1"/>
    </xf>
    <xf numFmtId="14" fontId="4" fillId="0" borderId="3" xfId="0" applyNumberFormat="1" applyFont="1" applyFill="1" applyBorder="1" applyAlignment="1">
      <alignment horizontal="center" vertical="center"/>
    </xf>
    <xf numFmtId="176" fontId="10" fillId="0" borderId="3" xfId="0" applyNumberFormat="1" applyFont="1" applyFill="1" applyBorder="1" applyAlignment="1">
      <alignment horizontal="center" vertical="center" wrapText="1"/>
    </xf>
    <xf numFmtId="0" fontId="10" fillId="0" borderId="3" xfId="0" applyFont="1" applyFill="1" applyBorder="1" applyAlignment="1">
      <alignment horizontal="center" vertical="center" wrapText="1"/>
    </xf>
    <xf numFmtId="10" fontId="10" fillId="0" borderId="3" xfId="0" applyNumberFormat="1" applyFont="1" applyFill="1" applyBorder="1" applyAlignment="1">
      <alignment horizontal="center" vertical="center" wrapText="1"/>
    </xf>
    <xf numFmtId="177" fontId="10" fillId="0" borderId="1" xfId="0" applyNumberFormat="1" applyFont="1" applyFill="1" applyBorder="1" applyAlignment="1">
      <alignment horizontal="center" vertical="center" wrapText="1"/>
    </xf>
    <xf numFmtId="176" fontId="4" fillId="0" borderId="1" xfId="0" applyNumberFormat="1" applyFont="1" applyFill="1" applyBorder="1" applyAlignment="1">
      <alignment horizontal="center" vertical="center"/>
    </xf>
    <xf numFmtId="0" fontId="6" fillId="0" borderId="1" xfId="0" applyNumberFormat="1" applyFont="1" applyFill="1" applyBorder="1" applyAlignment="1">
      <alignment horizontal="center" vertical="center" wrapText="1"/>
    </xf>
    <xf numFmtId="176" fontId="4" fillId="0" borderId="3" xfId="0" applyNumberFormat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 wrapText="1"/>
    </xf>
    <xf numFmtId="178" fontId="10" fillId="0" borderId="1" xfId="0" applyNumberFormat="1" applyFont="1" applyFill="1" applyBorder="1" applyAlignment="1">
      <alignment horizontal="center" vertical="center"/>
    </xf>
    <xf numFmtId="10" fontId="10" fillId="0" borderId="3" xfId="0" applyNumberFormat="1" applyFont="1" applyFill="1" applyBorder="1" applyAlignment="1" applyProtection="1">
      <alignment horizontal="center" vertical="center" wrapText="1"/>
    </xf>
    <xf numFmtId="0" fontId="11" fillId="0" borderId="4" xfId="0" applyFont="1" applyFill="1" applyBorder="1" applyAlignment="1">
      <alignment horizontal="center" vertical="center"/>
    </xf>
    <xf numFmtId="0" fontId="11" fillId="0" borderId="5" xfId="0" applyFont="1" applyFill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14" fontId="4" fillId="7" borderId="1" xfId="0" applyNumberFormat="1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14" fontId="12" fillId="0" borderId="1" xfId="0" applyNumberFormat="1" applyFont="1" applyFill="1" applyBorder="1" applyAlignment="1">
      <alignment horizontal="center" vertical="center"/>
    </xf>
    <xf numFmtId="14" fontId="12" fillId="0" borderId="3" xfId="0" applyNumberFormat="1" applyFont="1" applyFill="1" applyBorder="1" applyAlignment="1">
      <alignment horizontal="center" vertical="center"/>
    </xf>
    <xf numFmtId="14" fontId="4" fillId="0" borderId="6" xfId="0" applyNumberFormat="1" applyFont="1" applyFill="1" applyBorder="1" applyAlignment="1">
      <alignment horizontal="center" vertical="center"/>
    </xf>
    <xf numFmtId="176" fontId="10" fillId="0" borderId="6" xfId="0" applyNumberFormat="1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 wrapText="1"/>
    </xf>
    <xf numFmtId="176" fontId="10" fillId="6" borderId="1" xfId="0" applyNumberFormat="1" applyFont="1" applyFill="1" applyBorder="1" applyAlignment="1">
      <alignment horizontal="center" vertical="center" wrapText="1"/>
    </xf>
    <xf numFmtId="14" fontId="4" fillId="6" borderId="1" xfId="0" applyNumberFormat="1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0" fillId="6" borderId="1" xfId="0" applyNumberFormat="1" applyFont="1" applyFill="1" applyBorder="1" applyAlignment="1">
      <alignment horizontal="center" vertical="center" wrapText="1"/>
    </xf>
    <xf numFmtId="0" fontId="6" fillId="6" borderId="1" xfId="0" applyNumberFormat="1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10" fontId="10" fillId="6" borderId="3" xfId="0" applyNumberFormat="1" applyFont="1" applyFill="1" applyBorder="1" applyAlignment="1">
      <alignment horizontal="center" vertical="center" wrapText="1"/>
    </xf>
    <xf numFmtId="0" fontId="10" fillId="6" borderId="3" xfId="0" applyFont="1" applyFill="1" applyBorder="1" applyAlignment="1">
      <alignment horizontal="center" vertical="center" wrapText="1"/>
    </xf>
    <xf numFmtId="179" fontId="10" fillId="0" borderId="1" xfId="0" applyNumberFormat="1" applyFont="1" applyFill="1" applyBorder="1" applyAlignment="1">
      <alignment horizontal="center" vertical="center" wrapText="1"/>
    </xf>
    <xf numFmtId="0" fontId="13" fillId="0" borderId="0" xfId="0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horizontal="center" vertical="center"/>
    </xf>
    <xf numFmtId="176" fontId="5" fillId="0" borderId="0" xfId="0" applyNumberFormat="1" applyFont="1" applyFill="1" applyBorder="1" applyAlignment="1">
      <alignment horizontal="center" vertical="center"/>
    </xf>
    <xf numFmtId="180" fontId="7" fillId="0" borderId="1" xfId="0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10" fontId="7" fillId="0" borderId="1" xfId="0" applyNumberFormat="1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 wrapText="1"/>
    </xf>
    <xf numFmtId="176" fontId="15" fillId="0" borderId="1" xfId="0" applyNumberFormat="1" applyFont="1" applyFill="1" applyBorder="1" applyAlignment="1">
      <alignment horizontal="center" vertical="center" wrapText="1"/>
    </xf>
    <xf numFmtId="180" fontId="15" fillId="0" borderId="1" xfId="0" applyNumberFormat="1" applyFont="1" applyFill="1" applyBorder="1" applyAlignment="1">
      <alignment horizontal="center" vertical="center" wrapText="1"/>
    </xf>
    <xf numFmtId="10" fontId="15" fillId="0" borderId="1" xfId="0" applyNumberFormat="1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/>
    </xf>
    <xf numFmtId="181" fontId="10" fillId="0" borderId="1" xfId="0" applyNumberFormat="1" applyFont="1" applyFill="1" applyBorder="1" applyAlignment="1">
      <alignment horizontal="center" vertical="center" wrapText="1"/>
    </xf>
    <xf numFmtId="180" fontId="10" fillId="0" borderId="1" xfId="0" applyNumberFormat="1" applyFont="1" applyFill="1" applyBorder="1" applyAlignment="1">
      <alignment horizontal="center" vertical="center" wrapText="1"/>
    </xf>
    <xf numFmtId="14" fontId="5" fillId="0" borderId="1" xfId="0" applyNumberFormat="1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 wrapText="1"/>
    </xf>
    <xf numFmtId="0" fontId="10" fillId="0" borderId="7" xfId="0" applyFont="1" applyFill="1" applyBorder="1" applyAlignment="1">
      <alignment horizontal="center" vertical="center" wrapText="1"/>
    </xf>
    <xf numFmtId="180" fontId="10" fillId="0" borderId="3" xfId="0" applyNumberFormat="1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176" fontId="8" fillId="0" borderId="3" xfId="0" applyNumberFormat="1" applyFont="1" applyFill="1" applyBorder="1" applyAlignment="1">
      <alignment horizontal="center" vertical="center" wrapText="1"/>
    </xf>
    <xf numFmtId="180" fontId="8" fillId="0" borderId="3" xfId="0" applyNumberFormat="1" applyFont="1" applyFill="1" applyBorder="1" applyAlignment="1">
      <alignment horizontal="center" vertical="center" wrapText="1"/>
    </xf>
    <xf numFmtId="10" fontId="8" fillId="0" borderId="3" xfId="0" applyNumberFormat="1" applyFont="1" applyFill="1" applyBorder="1" applyAlignment="1">
      <alignment horizontal="center" vertical="center" wrapText="1"/>
    </xf>
    <xf numFmtId="0" fontId="14" fillId="0" borderId="3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 wrapText="1"/>
    </xf>
    <xf numFmtId="176" fontId="5" fillId="0" borderId="0" xfId="0" applyNumberFormat="1" applyFont="1" applyFill="1" applyBorder="1" applyAlignment="1">
      <alignment horizontal="center" vertical="center" wrapText="1"/>
    </xf>
    <xf numFmtId="176" fontId="10" fillId="0" borderId="0" xfId="0" applyNumberFormat="1" applyFont="1" applyFill="1" applyBorder="1" applyAlignment="1">
      <alignment horizontal="center" vertical="center" wrapText="1"/>
    </xf>
    <xf numFmtId="0" fontId="16" fillId="0" borderId="0" xfId="0" applyFont="1" applyFill="1" applyBorder="1" applyAlignment="1">
      <alignment horizontal="center" vertical="center" wrapText="1"/>
    </xf>
    <xf numFmtId="176" fontId="13" fillId="0" borderId="0" xfId="0" applyNumberFormat="1" applyFont="1" applyFill="1" applyBorder="1" applyAlignment="1">
      <alignment horizontal="center" vertical="center" wrapText="1"/>
    </xf>
    <xf numFmtId="178" fontId="5" fillId="0" borderId="0" xfId="0" applyNumberFormat="1" applyFont="1" applyFill="1" applyBorder="1" applyAlignment="1">
      <alignment horizontal="center" vertical="center" wrapText="1"/>
    </xf>
    <xf numFmtId="178" fontId="10" fillId="0" borderId="0" xfId="0" applyNumberFormat="1" applyFont="1" applyFill="1" applyBorder="1" applyAlignment="1">
      <alignment horizontal="center" vertical="center" wrapText="1"/>
    </xf>
    <xf numFmtId="178" fontId="5" fillId="0" borderId="0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35">
    <dxf>
      <font>
        <name val="宋体"/>
        <scheme val="none"/>
        <charset val="134"/>
        <family val="0"/>
        <b val="0"/>
        <i val="0"/>
        <strike val="0"/>
        <u val="none"/>
        <sz val="10"/>
        <color theme="1"/>
      </font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宋体"/>
        <scheme val="none"/>
        <charset val="134"/>
        <family val="0"/>
        <b val="0"/>
        <i val="0"/>
        <strike val="0"/>
        <u val="none"/>
        <sz val="10"/>
        <color theme="1"/>
      </font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Microsoft YaHei"/>
        <scheme val="none"/>
        <charset val="134"/>
        <family val="0"/>
        <b val="0"/>
        <i val="0"/>
        <strike val="0"/>
        <u val="none"/>
        <sz val="10"/>
        <color theme="1"/>
      </font>
      <fill>
        <patternFill patternType="none"/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Microsoft YaHei"/>
        <scheme val="none"/>
        <charset val="134"/>
        <family val="0"/>
        <b val="0"/>
        <i val="0"/>
        <strike val="0"/>
        <u val="none"/>
        <sz val="10"/>
        <color theme="1"/>
      </font>
      <fill>
        <patternFill patternType="none"/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Microsoft YaHei"/>
        <scheme val="none"/>
        <charset val="134"/>
        <family val="0"/>
        <b val="0"/>
        <i val="0"/>
        <strike val="0"/>
        <u val="none"/>
        <sz val="10"/>
        <color theme="1"/>
      </font>
      <numFmt numFmtId="176" formatCode="[$-409]yyyy/mm/dd;@"/>
      <fill>
        <patternFill patternType="none"/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Microsoft YaHei"/>
        <scheme val="none"/>
        <charset val="134"/>
        <family val="0"/>
        <b val="0"/>
        <i val="0"/>
        <strike val="0"/>
        <u val="none"/>
        <sz val="10"/>
        <color theme="1"/>
      </font>
      <numFmt numFmtId="176" formatCode="[$-409]yyyy/mm/dd;@"/>
      <fill>
        <patternFill patternType="none"/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Microsoft YaHei"/>
        <scheme val="none"/>
        <charset val="134"/>
        <family val="0"/>
        <b val="0"/>
        <i val="0"/>
        <strike val="0"/>
        <u val="none"/>
        <sz val="10"/>
        <color theme="1"/>
      </font>
      <fill>
        <patternFill patternType="none"/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0"/>
        <color theme="1"/>
      </font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Microsoft YaHei"/>
        <scheme val="none"/>
        <charset val="134"/>
        <family val="0"/>
        <b val="0"/>
        <i val="0"/>
        <strike val="0"/>
        <u val="none"/>
        <sz val="10"/>
        <color theme="1"/>
      </font>
      <fill>
        <patternFill patternType="none"/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Microsoft YaHei"/>
        <scheme val="none"/>
        <charset val="134"/>
        <family val="0"/>
        <b val="0"/>
        <i val="0"/>
        <strike val="0"/>
        <u val="none"/>
        <sz val="10"/>
        <color theme="1"/>
      </font>
      <fill>
        <patternFill patternType="none"/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Microsoft YaHei"/>
        <scheme val="none"/>
        <charset val="134"/>
        <family val="0"/>
        <b val="0"/>
        <i val="0"/>
        <strike val="0"/>
        <u val="none"/>
        <sz val="10"/>
        <color theme="1"/>
      </font>
      <fill>
        <patternFill patternType="none"/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Microsoft YaHei"/>
        <scheme val="none"/>
        <charset val="134"/>
        <family val="0"/>
        <b val="0"/>
        <i val="0"/>
        <strike val="0"/>
        <u val="none"/>
        <sz val="10"/>
        <color theme="1"/>
      </font>
      <fill>
        <patternFill patternType="none"/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Microsoft YaHei"/>
        <scheme val="none"/>
        <charset val="134"/>
        <family val="0"/>
        <b val="0"/>
        <i val="0"/>
        <strike val="0"/>
        <u val="none"/>
        <sz val="10"/>
        <color theme="1"/>
      </font>
      <fill>
        <patternFill patternType="none"/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Microsoft YaHei"/>
        <scheme val="none"/>
        <charset val="134"/>
        <family val="0"/>
        <b val="0"/>
        <i val="0"/>
        <strike val="0"/>
        <u val="none"/>
        <sz val="10"/>
        <color theme="1"/>
      </font>
      <numFmt numFmtId="176" formatCode="[$-409]yyyy/mm/dd;@"/>
      <fill>
        <patternFill patternType="none"/>
      </fill>
      <alignment horizontal="center" vertical="center" wrapText="1"/>
      <border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name val="Microsoft YaHei"/>
        <scheme val="none"/>
        <charset val="134"/>
        <family val="0"/>
        <b val="0"/>
        <i val="0"/>
        <strike val="0"/>
        <u val="none"/>
        <sz val="10"/>
        <color theme="1"/>
      </font>
      <numFmt numFmtId="10" formatCode="0.00%"/>
      <fill>
        <patternFill patternType="none"/>
      </fill>
      <alignment horizontal="center" vertical="center" wrapText="1"/>
      <border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name val="Microsoft YaHei"/>
        <scheme val="none"/>
        <charset val="134"/>
        <family val="0"/>
        <b val="0"/>
        <i val="0"/>
        <strike val="0"/>
        <u val="none"/>
        <sz val="10"/>
        <color theme="1"/>
      </font>
      <fill>
        <patternFill patternType="none"/>
      </fill>
      <alignment horizontal="center" vertical="center" wrapText="1"/>
      <border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name val="Microsoft YaHei"/>
        <scheme val="none"/>
        <charset val="134"/>
        <family val="0"/>
        <b val="0"/>
        <i val="0"/>
        <strike val="0"/>
        <u val="none"/>
        <sz val="10"/>
        <color theme="1"/>
      </font>
      <fill>
        <patternFill patternType="none"/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24"/>
      <tableStyleElement type="headerRow" dxfId="23"/>
      <tableStyleElement type="totalRow" dxfId="22"/>
      <tableStyleElement type="firstColumn" dxfId="21"/>
      <tableStyleElement type="lastColumn" dxfId="20"/>
      <tableStyleElement type="firstRowStripe" dxfId="19"/>
      <tableStyleElement type="firstColumnStripe" dxfId="18"/>
    </tableStyle>
    <tableStyle name="PivotStylePreset2_Accent1" table="0" count="10" xr9:uid="{267968C8-6FFD-4C36-ACC1-9EA1FD1885CA}">
      <tableStyleElement type="headerRow" dxfId="34"/>
      <tableStyleElement type="totalRow" dxfId="33"/>
      <tableStyleElement type="firstRowStripe" dxfId="32"/>
      <tableStyleElement type="firstColumnStripe" dxfId="31"/>
      <tableStyleElement type="firstSubtotalRow" dxfId="30"/>
      <tableStyleElement type="secondSubtotalRow" dxfId="29"/>
      <tableStyleElement type="firstRowSubheading" dxfId="28"/>
      <tableStyleElement type="secondRowSubheading" dxfId="27"/>
      <tableStyleElement type="pageFieldLabels" dxfId="26"/>
      <tableStyleElement type="pageFieldValues" dxfId="25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表1" displayName="表1" ref="B2:U203" totalsRowShown="0">
  <autoFilter xmlns:etc="http://www.wps.cn/officeDocument/2017/etCustomData" ref="B2:U203" etc:filterBottomFollowUsedRange="0"/>
  <sortState ref="B2:U203">
    <sortCondition ref="I3:I203"/>
  </sortState>
  <tableColumns count="20">
    <tableColumn id="1" name="序 号" dataDxfId="0"/>
    <tableColumn id="2" name="抵押机构" dataDxfId="1"/>
    <tableColumn id="3" name="抵押物品" dataDxfId="2"/>
    <tableColumn id="4" name="状态" dataDxfId="3"/>
    <tableColumn id="5" name="当票日期" dataDxfId="4"/>
    <tableColumn id="6" name="当票到期日" dataDxfId="5"/>
    <tableColumn id="8" name="出款日期"/>
    <tableColumn id="7" name="客户姓名" dataDxfId="6"/>
    <tableColumn id="9" name="典当金额" dataDxfId="7"/>
    <tableColumn id="28" name="已还本金">
      <calculatedColumnFormula>J3*10000</calculatedColumnFormula>
    </tableColumn>
    <tableColumn id="10" name="当票号" dataDxfId="8"/>
    <tableColumn id="11" name="应收金额" dataDxfId="9"/>
    <tableColumn id="12" name="对公" dataDxfId="10"/>
    <tableColumn id="14" name="详情" dataDxfId="11"/>
    <tableColumn id="15" name="利息日" dataDxfId="12"/>
    <tableColumn id="16" name="违约金" dataDxfId="13"/>
    <tableColumn id="18" name="应付利息日" dataDxfId="14"/>
    <tableColumn id="22" name="典当系统" dataDxfId="15"/>
    <tableColumn id="23" name="开票金额" dataDxfId="16"/>
    <tableColumn id="25" name="付息方式" dataDxfId="17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dt2.soudang.com/ddt/business/pawn/javascript:showBillDetail('DD353561729760879068');" TargetMode="Externa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4" Type="http://schemas.openxmlformats.org/officeDocument/2006/relationships/hyperlink" Target="https://ddt2.soudang.com/ddt/business/pawn/javascript:showBillDetail('DD353561729760879068');" TargetMode="External"/><Relationship Id="rId3" Type="http://schemas.openxmlformats.org/officeDocument/2006/relationships/table" Target="../tables/table1.xml"/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85"/>
  <sheetViews>
    <sheetView tabSelected="1" workbookViewId="0">
      <pane ySplit="2" topLeftCell="A3" activePane="bottomLeft" state="frozen"/>
      <selection/>
      <selection pane="bottomLeft" activeCell="L8" sqref="L8"/>
    </sheetView>
  </sheetViews>
  <sheetFormatPr defaultColWidth="9" defaultRowHeight="14.25"/>
  <cols>
    <col min="1" max="1" width="8.25" style="12" customWidth="1"/>
    <col min="2" max="2" width="8.5" style="12" customWidth="1"/>
    <col min="3" max="4" width="12.625" style="84" customWidth="1"/>
    <col min="5" max="5" width="12.2166666666667" style="12" customWidth="1"/>
    <col min="6" max="6" width="15" style="12" customWidth="1"/>
    <col min="7" max="7" width="11.125" style="12" customWidth="1"/>
    <col min="8" max="8" width="13.75" style="12" customWidth="1"/>
    <col min="9" max="9" width="10.5" style="12" customWidth="1"/>
    <col min="10" max="11" width="7.25" style="12" customWidth="1"/>
    <col min="12" max="12" width="9.625" style="12" customWidth="1"/>
    <col min="13" max="15" width="7.25" style="12" customWidth="1"/>
    <col min="16" max="16" width="14.175" style="84" customWidth="1"/>
    <col min="17" max="17" width="15.4083333333333" style="84" hidden="1" customWidth="1"/>
    <col min="18" max="18" width="10.275" style="12" hidden="1" customWidth="1"/>
    <col min="19" max="19" width="13.0583333333333" style="12" customWidth="1"/>
    <col min="20" max="21" width="11.525" style="12" customWidth="1"/>
    <col min="22" max="22" width="12.6333333333333" style="84" customWidth="1"/>
    <col min="23" max="23" width="10.8333333333333" style="12" customWidth="1"/>
    <col min="24" max="24" width="38" style="12" customWidth="1"/>
    <col min="25" max="25" width="12.25" style="12" customWidth="1"/>
    <col min="26" max="26" width="27.075" style="12" customWidth="1"/>
    <col min="27" max="16384" width="9" style="12"/>
  </cols>
  <sheetData>
    <row r="1" s="12" customFormat="1" ht="27" customHeight="1" spans="1:25">
      <c r="A1" s="17" t="s">
        <v>0</v>
      </c>
      <c r="B1" s="17"/>
      <c r="C1" s="18"/>
      <c r="D1" s="18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8" t="s">
        <v>1</v>
      </c>
      <c r="Q1" s="18"/>
      <c r="R1" s="85"/>
      <c r="S1" s="86">
        <v>0.001</v>
      </c>
      <c r="T1" s="87"/>
      <c r="U1" s="86"/>
      <c r="V1" s="18"/>
      <c r="W1" s="88"/>
    </row>
    <row r="2" s="82" customFormat="1" ht="22.5" customHeight="1" spans="1:25">
      <c r="A2" s="89" t="s">
        <v>2</v>
      </c>
      <c r="B2" s="89" t="s">
        <v>3</v>
      </c>
      <c r="C2" s="90" t="s">
        <v>4</v>
      </c>
      <c r="D2" s="90" t="s">
        <v>5</v>
      </c>
      <c r="E2" s="89" t="s">
        <v>6</v>
      </c>
      <c r="F2" s="89" t="s">
        <v>7</v>
      </c>
      <c r="G2" s="89" t="s">
        <v>8</v>
      </c>
      <c r="H2" s="89" t="s">
        <v>9</v>
      </c>
      <c r="I2" s="89" t="s">
        <v>10</v>
      </c>
      <c r="J2" s="89" t="s">
        <v>11</v>
      </c>
      <c r="K2" s="89" t="s">
        <v>12</v>
      </c>
      <c r="L2" s="89" t="s">
        <v>13</v>
      </c>
      <c r="M2" s="89" t="s">
        <v>14</v>
      </c>
      <c r="N2" s="89" t="s">
        <v>15</v>
      </c>
      <c r="O2" s="89" t="s">
        <v>16</v>
      </c>
      <c r="P2" s="90" t="s">
        <v>17</v>
      </c>
      <c r="Q2" s="90" t="s">
        <v>18</v>
      </c>
      <c r="R2" s="91" t="s">
        <v>19</v>
      </c>
      <c r="S2" s="89" t="s">
        <v>20</v>
      </c>
      <c r="T2" s="92" t="s">
        <v>21</v>
      </c>
      <c r="U2" s="89" t="s">
        <v>22</v>
      </c>
      <c r="V2" s="90" t="s">
        <v>23</v>
      </c>
      <c r="W2" s="89" t="s">
        <v>24</v>
      </c>
      <c r="X2" s="93" t="s">
        <v>25</v>
      </c>
      <c r="Y2" s="93" t="s">
        <v>26</v>
      </c>
    </row>
    <row r="3" s="12" customFormat="1" ht="22.5" customHeight="1" spans="1:25">
      <c r="A3" s="32" t="s">
        <v>27</v>
      </c>
      <c r="B3" s="32" t="s">
        <v>28</v>
      </c>
      <c r="C3" s="33">
        <v>44326</v>
      </c>
      <c r="D3" s="33"/>
      <c r="E3" s="32" t="s">
        <v>29</v>
      </c>
      <c r="F3" s="94">
        <v>13027200576</v>
      </c>
      <c r="G3" s="54">
        <v>150000</v>
      </c>
      <c r="H3" s="32">
        <v>3519121393</v>
      </c>
      <c r="I3" s="32">
        <v>3750</v>
      </c>
      <c r="J3" s="32"/>
      <c r="K3" s="32"/>
      <c r="L3" s="32"/>
      <c r="M3" s="32"/>
      <c r="N3" s="32"/>
      <c r="O3" s="32">
        <f t="shared" ref="O3:O33" si="0">J3+L3+M3+N3</f>
        <v>0</v>
      </c>
      <c r="P3" s="33">
        <v>45332</v>
      </c>
      <c r="Q3" s="33"/>
      <c r="R3" s="95">
        <f t="shared" ref="R3:R26" si="1">IF((DATEDIF(P3,Q3,"D"))&gt;0,(DATEDIF(P3,Q3,"D")),0)</f>
        <v>0</v>
      </c>
      <c r="S3" s="32">
        <f t="shared" ref="S3:S35" si="2">G3*$S$1*R3-N3</f>
        <v>0</v>
      </c>
      <c r="T3" s="39">
        <v>0.025</v>
      </c>
      <c r="U3" s="32">
        <v>3750</v>
      </c>
      <c r="V3" s="33">
        <v>45240</v>
      </c>
      <c r="W3" s="32" t="s">
        <v>30</v>
      </c>
      <c r="X3" s="25"/>
      <c r="Y3" s="25"/>
    </row>
    <row r="4" s="12" customFormat="1" ht="22.5" customHeight="1" spans="1:25">
      <c r="A4" s="32" t="s">
        <v>31</v>
      </c>
      <c r="B4" s="32" t="s">
        <v>32</v>
      </c>
      <c r="C4" s="33">
        <v>44453</v>
      </c>
      <c r="D4" s="33"/>
      <c r="E4" s="32" t="s">
        <v>33</v>
      </c>
      <c r="F4" s="94">
        <v>18558706859</v>
      </c>
      <c r="G4" s="54">
        <f>100000-50000</f>
        <v>50000</v>
      </c>
      <c r="H4" s="32">
        <v>3519121346</v>
      </c>
      <c r="I4" s="32">
        <f>G4*0.025</f>
        <v>1250</v>
      </c>
      <c r="J4" s="32"/>
      <c r="K4" s="32"/>
      <c r="L4" s="32"/>
      <c r="M4" s="32"/>
      <c r="N4" s="32"/>
      <c r="O4" s="32">
        <f t="shared" si="0"/>
        <v>0</v>
      </c>
      <c r="P4" s="33">
        <v>46280</v>
      </c>
      <c r="Q4" s="33"/>
      <c r="R4" s="95">
        <f t="shared" si="1"/>
        <v>0</v>
      </c>
      <c r="S4" s="32">
        <f t="shared" si="2"/>
        <v>0</v>
      </c>
      <c r="T4" s="39">
        <v>0.025</v>
      </c>
      <c r="U4" s="32">
        <v>2500</v>
      </c>
      <c r="V4" s="33">
        <v>45246</v>
      </c>
      <c r="W4" s="32" t="s">
        <v>30</v>
      </c>
      <c r="X4" s="25"/>
      <c r="Y4" s="25"/>
    </row>
    <row r="5" s="12" customFormat="1" ht="22.5" customHeight="1" spans="1:25">
      <c r="A5" s="32" t="s">
        <v>27</v>
      </c>
      <c r="B5" s="32" t="s">
        <v>28</v>
      </c>
      <c r="C5" s="33">
        <v>44456</v>
      </c>
      <c r="D5" s="33"/>
      <c r="E5" s="32" t="s">
        <v>34</v>
      </c>
      <c r="F5" s="94">
        <v>13850106873</v>
      </c>
      <c r="G5" s="54">
        <v>70000</v>
      </c>
      <c r="H5" s="32">
        <v>3519123861</v>
      </c>
      <c r="I5" s="32">
        <v>1750</v>
      </c>
      <c r="J5" s="32"/>
      <c r="K5" s="32"/>
      <c r="L5" s="32"/>
      <c r="M5" s="32"/>
      <c r="N5" s="32"/>
      <c r="O5" s="32">
        <f t="shared" si="0"/>
        <v>0</v>
      </c>
      <c r="P5" s="33">
        <v>45700</v>
      </c>
      <c r="Q5" s="33"/>
      <c r="R5" s="95">
        <f t="shared" si="1"/>
        <v>0</v>
      </c>
      <c r="S5" s="32">
        <f t="shared" si="2"/>
        <v>0</v>
      </c>
      <c r="T5" s="39">
        <v>0.025</v>
      </c>
      <c r="U5" s="32">
        <v>1750</v>
      </c>
      <c r="V5" s="33">
        <v>45247</v>
      </c>
      <c r="W5" s="32" t="s">
        <v>30</v>
      </c>
      <c r="X5" s="25"/>
      <c r="Y5" s="25"/>
    </row>
    <row r="6" s="12" customFormat="1" ht="22.5" customHeight="1" spans="1:25">
      <c r="A6" s="32" t="s">
        <v>27</v>
      </c>
      <c r="B6" s="32" t="s">
        <v>32</v>
      </c>
      <c r="C6" s="33">
        <v>44485</v>
      </c>
      <c r="D6" s="33"/>
      <c r="E6" s="32" t="s">
        <v>35</v>
      </c>
      <c r="F6" s="94">
        <v>13635268478</v>
      </c>
      <c r="G6" s="54">
        <f>50000-10000</f>
        <v>40000</v>
      </c>
      <c r="H6" s="32">
        <v>3519121360</v>
      </c>
      <c r="I6" s="32">
        <v>1000</v>
      </c>
      <c r="J6" s="32"/>
      <c r="K6" s="32"/>
      <c r="L6" s="32"/>
      <c r="M6" s="32"/>
      <c r="N6" s="32"/>
      <c r="O6" s="32">
        <f t="shared" si="0"/>
        <v>0</v>
      </c>
      <c r="P6" s="33">
        <v>46279</v>
      </c>
      <c r="Q6" s="33"/>
      <c r="R6" s="95"/>
      <c r="S6" s="32">
        <f t="shared" si="2"/>
        <v>0</v>
      </c>
      <c r="T6" s="39">
        <v>0.025</v>
      </c>
      <c r="U6" s="32">
        <v>1250</v>
      </c>
      <c r="V6" s="33">
        <v>45250</v>
      </c>
      <c r="W6" s="32" t="s">
        <v>30</v>
      </c>
      <c r="X6" s="25"/>
      <c r="Y6" s="25"/>
    </row>
    <row r="7" s="12" customFormat="1" ht="22.5" customHeight="1" spans="1:25">
      <c r="A7" s="32" t="s">
        <v>31</v>
      </c>
      <c r="B7" s="32" t="s">
        <v>32</v>
      </c>
      <c r="C7" s="33">
        <v>44578</v>
      </c>
      <c r="D7" s="33"/>
      <c r="E7" s="32" t="s">
        <v>36</v>
      </c>
      <c r="F7" s="94">
        <v>13799989896</v>
      </c>
      <c r="G7" s="54">
        <v>100000</v>
      </c>
      <c r="H7" s="32">
        <v>3519156582</v>
      </c>
      <c r="I7" s="32">
        <v>2700</v>
      </c>
      <c r="J7" s="32"/>
      <c r="K7" s="32"/>
      <c r="L7" s="32"/>
      <c r="M7" s="32"/>
      <c r="N7" s="32"/>
      <c r="O7" s="32">
        <f t="shared" si="0"/>
        <v>0</v>
      </c>
      <c r="P7" s="33">
        <v>46280</v>
      </c>
      <c r="Q7" s="33"/>
      <c r="R7" s="95">
        <f t="shared" si="1"/>
        <v>0</v>
      </c>
      <c r="S7" s="32">
        <f t="shared" si="2"/>
        <v>0</v>
      </c>
      <c r="T7" s="39">
        <v>0.027</v>
      </c>
      <c r="U7" s="32">
        <v>2700</v>
      </c>
      <c r="V7" s="33">
        <v>45250</v>
      </c>
      <c r="W7" s="32" t="s">
        <v>30</v>
      </c>
      <c r="X7" s="25"/>
      <c r="Y7" s="25"/>
    </row>
    <row r="8" s="12" customFormat="1" ht="22.5" customHeight="1" spans="1:25">
      <c r="A8" s="32" t="s">
        <v>27</v>
      </c>
      <c r="B8" s="32" t="s">
        <v>32</v>
      </c>
      <c r="C8" s="33">
        <v>44587</v>
      </c>
      <c r="D8" s="33"/>
      <c r="E8" s="32" t="s">
        <v>37</v>
      </c>
      <c r="F8" s="94">
        <v>13615013016</v>
      </c>
      <c r="G8" s="54">
        <f>95000-35000-20000</f>
        <v>40000</v>
      </c>
      <c r="H8" s="32">
        <v>3519156586</v>
      </c>
      <c r="I8" s="32">
        <v>1500</v>
      </c>
      <c r="J8" s="32"/>
      <c r="K8" s="32"/>
      <c r="L8" s="32"/>
      <c r="M8" s="32"/>
      <c r="N8" s="32"/>
      <c r="O8" s="32">
        <f t="shared" si="0"/>
        <v>0</v>
      </c>
      <c r="P8" s="33">
        <v>45834</v>
      </c>
      <c r="Q8" s="33"/>
      <c r="R8" s="95">
        <f t="shared" si="1"/>
        <v>0</v>
      </c>
      <c r="S8" s="32">
        <f t="shared" si="2"/>
        <v>0</v>
      </c>
      <c r="T8" s="39">
        <v>0.025</v>
      </c>
      <c r="U8" s="32">
        <v>2500</v>
      </c>
      <c r="V8" s="33">
        <v>45256</v>
      </c>
      <c r="W8" s="32" t="s">
        <v>30</v>
      </c>
      <c r="X8" s="25"/>
      <c r="Y8" s="25"/>
    </row>
    <row r="9" s="12" customFormat="1" ht="22.5" customHeight="1" spans="1:25">
      <c r="A9" s="32" t="s">
        <v>27</v>
      </c>
      <c r="B9" s="32" t="s">
        <v>28</v>
      </c>
      <c r="C9" s="33">
        <v>44645</v>
      </c>
      <c r="D9" s="33"/>
      <c r="E9" s="32" t="s">
        <v>38</v>
      </c>
      <c r="F9" s="94">
        <v>18359178289</v>
      </c>
      <c r="G9" s="54">
        <v>300000</v>
      </c>
      <c r="H9" s="32">
        <v>3519156594</v>
      </c>
      <c r="I9" s="32">
        <v>7500</v>
      </c>
      <c r="J9" s="32"/>
      <c r="K9" s="32"/>
      <c r="L9" s="32"/>
      <c r="M9" s="32"/>
      <c r="N9" s="32"/>
      <c r="O9" s="32">
        <f t="shared" si="0"/>
        <v>0</v>
      </c>
      <c r="P9" s="33">
        <v>45285</v>
      </c>
      <c r="Q9" s="33"/>
      <c r="R9" s="95">
        <f t="shared" si="1"/>
        <v>0</v>
      </c>
      <c r="S9" s="32">
        <f t="shared" si="2"/>
        <v>0</v>
      </c>
      <c r="T9" s="39">
        <v>0.025</v>
      </c>
      <c r="U9" s="32">
        <v>7500</v>
      </c>
      <c r="V9" s="33">
        <v>45255</v>
      </c>
      <c r="W9" s="32" t="s">
        <v>30</v>
      </c>
      <c r="X9" s="25"/>
      <c r="Y9" s="25"/>
    </row>
    <row r="10" s="12" customFormat="1" ht="22.5" customHeight="1" spans="1:25">
      <c r="A10" s="32" t="s">
        <v>27</v>
      </c>
      <c r="B10" s="32" t="s">
        <v>39</v>
      </c>
      <c r="C10" s="33">
        <v>44649</v>
      </c>
      <c r="D10" s="33"/>
      <c r="E10" s="32" t="s">
        <v>40</v>
      </c>
      <c r="F10" s="94">
        <v>13850175177</v>
      </c>
      <c r="G10" s="54">
        <f>120000-20000</f>
        <v>100000</v>
      </c>
      <c r="H10" s="32"/>
      <c r="I10" s="32">
        <f>100000*0.025</f>
        <v>2500</v>
      </c>
      <c r="J10" s="32"/>
      <c r="K10" s="32"/>
      <c r="L10" s="32"/>
      <c r="M10" s="32"/>
      <c r="N10" s="32"/>
      <c r="O10" s="32">
        <f t="shared" si="0"/>
        <v>0</v>
      </c>
      <c r="P10" s="33">
        <v>45743</v>
      </c>
      <c r="Q10" s="33"/>
      <c r="R10" s="95">
        <f t="shared" si="1"/>
        <v>0</v>
      </c>
      <c r="S10" s="32">
        <f t="shared" si="2"/>
        <v>0</v>
      </c>
      <c r="T10" s="39">
        <v>0.025</v>
      </c>
      <c r="U10" s="32">
        <v>3000</v>
      </c>
      <c r="V10" s="33">
        <v>45258</v>
      </c>
      <c r="W10" s="32" t="s">
        <v>30</v>
      </c>
      <c r="X10" s="96" t="s">
        <v>41</v>
      </c>
      <c r="Y10" s="25"/>
    </row>
    <row r="11" s="12" customFormat="1" ht="22.5" customHeight="1" spans="1:25">
      <c r="A11" s="32" t="s">
        <v>27</v>
      </c>
      <c r="B11" s="32" t="s">
        <v>28</v>
      </c>
      <c r="C11" s="33">
        <v>44818</v>
      </c>
      <c r="D11" s="33"/>
      <c r="E11" s="32" t="s">
        <v>42</v>
      </c>
      <c r="F11" s="94">
        <v>13705967988</v>
      </c>
      <c r="G11" s="54">
        <v>200000</v>
      </c>
      <c r="H11" s="32">
        <v>3519121345</v>
      </c>
      <c r="I11" s="32">
        <v>5000</v>
      </c>
      <c r="J11" s="32"/>
      <c r="K11" s="32"/>
      <c r="L11" s="32"/>
      <c r="M11" s="32"/>
      <c r="N11" s="32"/>
      <c r="O11" s="32">
        <f t="shared" si="0"/>
        <v>0</v>
      </c>
      <c r="P11" s="33">
        <v>45336</v>
      </c>
      <c r="Q11" s="33"/>
      <c r="R11" s="95">
        <f t="shared" si="1"/>
        <v>0</v>
      </c>
      <c r="S11" s="32">
        <f t="shared" si="2"/>
        <v>0</v>
      </c>
      <c r="T11" s="39">
        <v>0.025</v>
      </c>
      <c r="U11" s="32">
        <v>5000</v>
      </c>
      <c r="V11" s="33">
        <v>45244</v>
      </c>
      <c r="W11" s="32" t="s">
        <v>30</v>
      </c>
      <c r="X11" s="25"/>
      <c r="Y11" s="25"/>
    </row>
    <row r="12" s="12" customFormat="1" ht="22.5" customHeight="1" spans="1:25">
      <c r="A12" s="32" t="s">
        <v>27</v>
      </c>
      <c r="B12" s="32" t="s">
        <v>43</v>
      </c>
      <c r="C12" s="33">
        <v>44834</v>
      </c>
      <c r="D12" s="33"/>
      <c r="E12" s="32" t="s">
        <v>44</v>
      </c>
      <c r="F12" s="94">
        <v>18065160734</v>
      </c>
      <c r="G12" s="54">
        <v>75000</v>
      </c>
      <c r="H12" s="32">
        <v>3519123869</v>
      </c>
      <c r="I12" s="32">
        <v>1875</v>
      </c>
      <c r="J12" s="97"/>
      <c r="K12" s="97"/>
      <c r="L12" s="32"/>
      <c r="M12" s="32"/>
      <c r="N12" s="32"/>
      <c r="O12" s="32">
        <f t="shared" si="0"/>
        <v>0</v>
      </c>
      <c r="P12" s="33">
        <v>45229</v>
      </c>
      <c r="Q12" s="33"/>
      <c r="R12" s="95">
        <f t="shared" si="1"/>
        <v>0</v>
      </c>
      <c r="S12" s="32">
        <f t="shared" si="2"/>
        <v>0</v>
      </c>
      <c r="T12" s="39">
        <v>0.025</v>
      </c>
      <c r="U12" s="32">
        <v>1875</v>
      </c>
      <c r="V12" s="33">
        <v>45214</v>
      </c>
      <c r="W12" s="32" t="s">
        <v>30</v>
      </c>
      <c r="X12" s="25"/>
      <c r="Y12" s="25"/>
    </row>
    <row r="13" s="12" customFormat="1" ht="22.5" customHeight="1" spans="1:25">
      <c r="A13" s="32" t="s">
        <v>27</v>
      </c>
      <c r="B13" s="32" t="s">
        <v>28</v>
      </c>
      <c r="C13" s="33">
        <v>44861</v>
      </c>
      <c r="D13" s="33"/>
      <c r="E13" s="32" t="s">
        <v>38</v>
      </c>
      <c r="F13" s="94">
        <v>18359178289</v>
      </c>
      <c r="G13" s="54">
        <v>150000</v>
      </c>
      <c r="H13" s="32"/>
      <c r="I13" s="32">
        <v>3750</v>
      </c>
      <c r="J13" s="32"/>
      <c r="K13" s="32"/>
      <c r="L13" s="32"/>
      <c r="M13" s="32"/>
      <c r="N13" s="32"/>
      <c r="O13" s="32">
        <f t="shared" si="0"/>
        <v>0</v>
      </c>
      <c r="P13" s="33">
        <v>45257</v>
      </c>
      <c r="Q13" s="33"/>
      <c r="R13" s="95">
        <f t="shared" si="1"/>
        <v>0</v>
      </c>
      <c r="S13" s="32">
        <f t="shared" si="2"/>
        <v>0</v>
      </c>
      <c r="T13" s="39">
        <v>0.025</v>
      </c>
      <c r="U13" s="32">
        <v>3750</v>
      </c>
      <c r="V13" s="33">
        <v>45258</v>
      </c>
      <c r="W13" s="32" t="s">
        <v>30</v>
      </c>
      <c r="X13" s="25"/>
      <c r="Y13" s="25"/>
    </row>
    <row r="14" s="12" customFormat="1" ht="22.5" customHeight="1" spans="1:25">
      <c r="A14" s="32" t="s">
        <v>27</v>
      </c>
      <c r="B14" s="32" t="s">
        <v>28</v>
      </c>
      <c r="C14" s="33">
        <v>44887</v>
      </c>
      <c r="D14" s="33"/>
      <c r="E14" s="32" t="s">
        <v>45</v>
      </c>
      <c r="F14" s="94">
        <v>13950344383</v>
      </c>
      <c r="G14" s="54">
        <v>150000</v>
      </c>
      <c r="H14" s="32"/>
      <c r="I14" s="32">
        <v>3750</v>
      </c>
      <c r="J14" s="32"/>
      <c r="K14" s="32"/>
      <c r="L14" s="32"/>
      <c r="M14" s="32"/>
      <c r="N14" s="32"/>
      <c r="O14" s="32">
        <f t="shared" si="0"/>
        <v>0</v>
      </c>
      <c r="P14" s="33">
        <v>45190</v>
      </c>
      <c r="Q14" s="33"/>
      <c r="R14" s="95">
        <f t="shared" si="1"/>
        <v>0</v>
      </c>
      <c r="S14" s="32">
        <f t="shared" si="2"/>
        <v>0</v>
      </c>
      <c r="T14" s="39">
        <v>0.01</v>
      </c>
      <c r="U14" s="32">
        <v>1500</v>
      </c>
      <c r="V14" s="33">
        <v>45220</v>
      </c>
      <c r="W14" s="32" t="s">
        <v>30</v>
      </c>
      <c r="X14" s="25"/>
      <c r="Y14" s="25"/>
    </row>
    <row r="15" s="12" customFormat="1" ht="22.5" customHeight="1" spans="1:25">
      <c r="A15" s="32" t="s">
        <v>27</v>
      </c>
      <c r="B15" s="32" t="s">
        <v>28</v>
      </c>
      <c r="C15" s="33">
        <v>44888</v>
      </c>
      <c r="D15" s="33"/>
      <c r="E15" s="32" t="s">
        <v>45</v>
      </c>
      <c r="F15" s="94">
        <v>13950344383</v>
      </c>
      <c r="G15" s="54">
        <v>150000</v>
      </c>
      <c r="H15" s="32"/>
      <c r="I15" s="32">
        <v>3750</v>
      </c>
      <c r="J15" s="32"/>
      <c r="K15" s="32"/>
      <c r="L15" s="32"/>
      <c r="M15" s="32"/>
      <c r="N15" s="32"/>
      <c r="O15" s="32">
        <f t="shared" si="0"/>
        <v>0</v>
      </c>
      <c r="P15" s="33">
        <v>45191</v>
      </c>
      <c r="Q15" s="33"/>
      <c r="R15" s="95">
        <f t="shared" si="1"/>
        <v>0</v>
      </c>
      <c r="S15" s="32">
        <f t="shared" si="2"/>
        <v>0</v>
      </c>
      <c r="T15" s="39">
        <v>0.025</v>
      </c>
      <c r="U15" s="32">
        <v>3750</v>
      </c>
      <c r="V15" s="33">
        <v>45221</v>
      </c>
      <c r="W15" s="32" t="s">
        <v>30</v>
      </c>
      <c r="X15" s="25"/>
      <c r="Y15" s="25"/>
    </row>
    <row r="16" s="12" customFormat="1" ht="22.5" customHeight="1" spans="1:25">
      <c r="A16" s="32" t="s">
        <v>27</v>
      </c>
      <c r="B16" s="32" t="s">
        <v>28</v>
      </c>
      <c r="C16" s="33">
        <v>44893</v>
      </c>
      <c r="D16" s="33"/>
      <c r="E16" s="32" t="s">
        <v>46</v>
      </c>
      <c r="F16" s="94">
        <v>13706982320</v>
      </c>
      <c r="G16" s="54">
        <v>50000</v>
      </c>
      <c r="H16" s="32"/>
      <c r="I16" s="32">
        <v>1250</v>
      </c>
      <c r="J16" s="32"/>
      <c r="K16" s="32"/>
      <c r="L16" s="32"/>
      <c r="M16" s="32"/>
      <c r="N16" s="32"/>
      <c r="O16" s="32">
        <f t="shared" si="0"/>
        <v>0</v>
      </c>
      <c r="P16" s="33">
        <v>45197</v>
      </c>
      <c r="Q16" s="33"/>
      <c r="R16" s="95">
        <f t="shared" si="1"/>
        <v>0</v>
      </c>
      <c r="S16" s="32">
        <f t="shared" si="2"/>
        <v>0</v>
      </c>
      <c r="T16" s="39">
        <v>0.025</v>
      </c>
      <c r="U16" s="32">
        <v>1250</v>
      </c>
      <c r="V16" s="33">
        <v>45227</v>
      </c>
      <c r="W16" s="32" t="s">
        <v>30</v>
      </c>
      <c r="X16" s="25"/>
      <c r="Y16" s="25"/>
    </row>
    <row r="17" s="12" customFormat="1" ht="22.5" customHeight="1" spans="1:56">
      <c r="A17" s="32" t="s">
        <v>47</v>
      </c>
      <c r="B17" s="32" t="s">
        <v>32</v>
      </c>
      <c r="C17" s="33">
        <v>45034</v>
      </c>
      <c r="D17" s="33"/>
      <c r="E17" s="32" t="s">
        <v>48</v>
      </c>
      <c r="F17" s="94">
        <v>13706988853</v>
      </c>
      <c r="G17" s="54">
        <v>150000</v>
      </c>
      <c r="H17" s="32"/>
      <c r="I17" s="32">
        <v>4200</v>
      </c>
      <c r="J17" s="32"/>
      <c r="K17" s="32"/>
      <c r="L17" s="32"/>
      <c r="M17" s="32"/>
      <c r="N17" s="32"/>
      <c r="O17" s="32">
        <f t="shared" si="0"/>
        <v>0</v>
      </c>
      <c r="P17" s="33">
        <v>45700</v>
      </c>
      <c r="Q17" s="33"/>
      <c r="R17" s="95">
        <f t="shared" si="1"/>
        <v>0</v>
      </c>
      <c r="S17" s="32">
        <f t="shared" si="2"/>
        <v>0</v>
      </c>
      <c r="T17" s="39">
        <v>0.028</v>
      </c>
      <c r="U17" s="32">
        <v>4200</v>
      </c>
      <c r="V17" s="33">
        <v>45248</v>
      </c>
      <c r="W17" s="32" t="s">
        <v>30</v>
      </c>
      <c r="X17" s="25"/>
      <c r="Y17" s="25"/>
    </row>
    <row r="18" s="12" customFormat="1" ht="26" customHeight="1" spans="1:56">
      <c r="A18" s="32" t="s">
        <v>27</v>
      </c>
      <c r="B18" s="32" t="s">
        <v>43</v>
      </c>
      <c r="C18" s="33">
        <v>45132</v>
      </c>
      <c r="D18" s="33"/>
      <c r="E18" s="32" t="s">
        <v>49</v>
      </c>
      <c r="F18" s="94">
        <v>13960788050</v>
      </c>
      <c r="G18" s="54">
        <v>20000</v>
      </c>
      <c r="H18" s="32"/>
      <c r="I18" s="32">
        <v>500</v>
      </c>
      <c r="J18" s="32"/>
      <c r="K18" s="32"/>
      <c r="L18" s="32"/>
      <c r="M18" s="32"/>
      <c r="N18" s="32"/>
      <c r="O18" s="32">
        <f t="shared" si="0"/>
        <v>0</v>
      </c>
      <c r="P18" s="51">
        <v>45404</v>
      </c>
      <c r="Q18" s="51"/>
      <c r="R18" s="95">
        <f t="shared" si="1"/>
        <v>0</v>
      </c>
      <c r="S18" s="32">
        <f t="shared" si="2"/>
        <v>0</v>
      </c>
      <c r="T18" s="39">
        <v>0.03</v>
      </c>
      <c r="U18" s="32">
        <v>500</v>
      </c>
      <c r="V18" s="33">
        <v>45255</v>
      </c>
      <c r="W18" s="32" t="s">
        <v>30</v>
      </c>
      <c r="X18" s="25"/>
      <c r="Y18" s="25"/>
    </row>
    <row r="19" s="12" customFormat="1" ht="22.5" customHeight="1" spans="1:56">
      <c r="A19" s="32" t="s">
        <v>27</v>
      </c>
      <c r="B19" s="32" t="s">
        <v>43</v>
      </c>
      <c r="C19" s="33">
        <v>45132</v>
      </c>
      <c r="D19" s="33"/>
      <c r="E19" s="32" t="s">
        <v>50</v>
      </c>
      <c r="F19" s="94">
        <v>15396066658</v>
      </c>
      <c r="G19" s="54">
        <v>60000</v>
      </c>
      <c r="H19" s="32"/>
      <c r="I19" s="32">
        <v>1800</v>
      </c>
      <c r="J19" s="32"/>
      <c r="K19" s="32"/>
      <c r="L19" s="32"/>
      <c r="M19" s="32"/>
      <c r="N19" s="32"/>
      <c r="O19" s="32">
        <f t="shared" si="0"/>
        <v>0</v>
      </c>
      <c r="P19" s="51">
        <v>45404</v>
      </c>
      <c r="Q19" s="51"/>
      <c r="R19" s="95">
        <f t="shared" si="1"/>
        <v>0</v>
      </c>
      <c r="S19" s="32">
        <f t="shared" si="2"/>
        <v>0</v>
      </c>
      <c r="T19" s="39">
        <v>0.03</v>
      </c>
      <c r="U19" s="32">
        <v>1500</v>
      </c>
      <c r="V19" s="33">
        <v>45255</v>
      </c>
      <c r="W19" s="32" t="s">
        <v>30</v>
      </c>
      <c r="X19" s="25"/>
      <c r="Y19" s="25"/>
    </row>
    <row r="20" s="32" customFormat="1" ht="22.5" customHeight="1" spans="1:56">
      <c r="A20" s="32" t="s">
        <v>27</v>
      </c>
      <c r="B20" s="32" t="s">
        <v>28</v>
      </c>
      <c r="C20" s="33">
        <v>45189</v>
      </c>
      <c r="D20" s="33"/>
      <c r="E20" s="32" t="s">
        <v>51</v>
      </c>
      <c r="G20" s="32">
        <f>100000-20000-10000-10000</f>
        <v>60000</v>
      </c>
      <c r="H20" s="32">
        <v>3519211804</v>
      </c>
      <c r="I20" s="32">
        <v>1500</v>
      </c>
      <c r="O20" s="32">
        <f t="shared" si="0"/>
        <v>0</v>
      </c>
      <c r="P20" s="33">
        <v>45703</v>
      </c>
      <c r="Q20" s="33"/>
      <c r="R20" s="95">
        <f t="shared" si="1"/>
        <v>0</v>
      </c>
      <c r="S20" s="32">
        <f t="shared" si="2"/>
        <v>0</v>
      </c>
      <c r="T20" s="39">
        <v>0.025</v>
      </c>
      <c r="U20" s="32">
        <v>2500</v>
      </c>
      <c r="V20" s="33">
        <v>45250</v>
      </c>
      <c r="W20" s="32" t="s">
        <v>30</v>
      </c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  <c r="AO20" s="58"/>
      <c r="AP20" s="58"/>
      <c r="AQ20" s="58"/>
      <c r="AR20" s="58"/>
      <c r="AS20" s="58"/>
      <c r="AT20" s="58"/>
      <c r="AU20" s="58"/>
      <c r="AV20" s="58"/>
      <c r="AW20" s="58"/>
      <c r="AX20" s="58"/>
      <c r="AY20" s="58"/>
      <c r="AZ20" s="58"/>
      <c r="BA20" s="58"/>
      <c r="BB20" s="58"/>
      <c r="BC20" s="58"/>
      <c r="BD20" s="98"/>
    </row>
    <row r="21" s="12" customFormat="1" ht="22.5" customHeight="1" spans="1:56">
      <c r="A21" s="32" t="s">
        <v>27</v>
      </c>
      <c r="B21" s="32" t="s">
        <v>28</v>
      </c>
      <c r="C21" s="33">
        <v>45254</v>
      </c>
      <c r="D21" s="33"/>
      <c r="E21" s="32" t="s">
        <v>52</v>
      </c>
      <c r="F21" s="94">
        <v>13358278680</v>
      </c>
      <c r="G21" s="54">
        <v>90000</v>
      </c>
      <c r="H21" s="32">
        <v>3519211817</v>
      </c>
      <c r="I21" s="32">
        <v>2500</v>
      </c>
      <c r="J21" s="32"/>
      <c r="K21" s="32"/>
      <c r="L21" s="32"/>
      <c r="M21" s="32"/>
      <c r="N21" s="32"/>
      <c r="O21" s="32">
        <f t="shared" si="0"/>
        <v>0</v>
      </c>
      <c r="P21" s="51">
        <v>45706</v>
      </c>
      <c r="Q21" s="51"/>
      <c r="R21" s="95">
        <f t="shared" si="1"/>
        <v>0</v>
      </c>
      <c r="S21" s="32">
        <f t="shared" si="2"/>
        <v>0</v>
      </c>
      <c r="T21" s="39">
        <v>0.025</v>
      </c>
      <c r="U21" s="52">
        <v>2500</v>
      </c>
      <c r="V21" s="33">
        <v>45254</v>
      </c>
      <c r="W21" s="32" t="s">
        <v>30</v>
      </c>
      <c r="X21" s="25"/>
      <c r="Y21" s="25"/>
    </row>
    <row r="22" s="12" customFormat="1" ht="22.5" customHeight="1" spans="1:56">
      <c r="A22" s="32" t="s">
        <v>27</v>
      </c>
      <c r="B22" s="32" t="s">
        <v>32</v>
      </c>
      <c r="C22" s="33">
        <v>45383</v>
      </c>
      <c r="D22" s="33"/>
      <c r="E22" s="35" t="s">
        <v>53</v>
      </c>
      <c r="F22" s="35">
        <v>18050267666</v>
      </c>
      <c r="G22" s="32">
        <f>50000-10000</f>
        <v>40000</v>
      </c>
      <c r="H22" s="32">
        <v>3519228936</v>
      </c>
      <c r="I22" s="32">
        <f>G22*0.025</f>
        <v>1000</v>
      </c>
      <c r="J22" s="32"/>
      <c r="K22" s="32"/>
      <c r="L22" s="32"/>
      <c r="M22" s="32"/>
      <c r="N22" s="32"/>
      <c r="O22" s="32">
        <f t="shared" si="0"/>
        <v>0</v>
      </c>
      <c r="P22" s="51">
        <v>46275</v>
      </c>
      <c r="Q22" s="51"/>
      <c r="R22" s="95">
        <f t="shared" si="1"/>
        <v>0</v>
      </c>
      <c r="S22" s="32">
        <f t="shared" si="2"/>
        <v>0</v>
      </c>
      <c r="T22" s="53">
        <v>0.025</v>
      </c>
      <c r="U22" s="52">
        <v>2000</v>
      </c>
      <c r="V22" s="33">
        <v>45383</v>
      </c>
      <c r="W22" s="32" t="s">
        <v>30</v>
      </c>
      <c r="X22" s="25" t="s">
        <v>54</v>
      </c>
      <c r="Y22" s="25"/>
    </row>
    <row r="23" s="12" customFormat="1" ht="22.5" customHeight="1" spans="1:56">
      <c r="A23" s="32" t="s">
        <v>27</v>
      </c>
      <c r="B23" s="32" t="s">
        <v>32</v>
      </c>
      <c r="C23" s="33">
        <v>45412</v>
      </c>
      <c r="D23" s="33">
        <v>45500</v>
      </c>
      <c r="E23" s="35" t="s">
        <v>55</v>
      </c>
      <c r="F23" s="35">
        <v>13559198275</v>
      </c>
      <c r="G23" s="32">
        <v>100000</v>
      </c>
      <c r="H23" s="32"/>
      <c r="I23" s="32">
        <v>2500</v>
      </c>
      <c r="J23" s="32"/>
      <c r="K23" s="32"/>
      <c r="L23" s="32"/>
      <c r="M23" s="32"/>
      <c r="N23" s="32"/>
      <c r="O23" s="32">
        <f t="shared" si="0"/>
        <v>0</v>
      </c>
      <c r="P23" s="51">
        <v>45708</v>
      </c>
      <c r="Q23" s="51"/>
      <c r="R23" s="95">
        <f t="shared" si="1"/>
        <v>0</v>
      </c>
      <c r="S23" s="32">
        <f t="shared" si="2"/>
        <v>0</v>
      </c>
      <c r="T23" s="53">
        <v>0.025</v>
      </c>
      <c r="U23" s="52">
        <v>2500</v>
      </c>
      <c r="V23" s="33">
        <v>45412</v>
      </c>
      <c r="W23" s="32" t="s">
        <v>30</v>
      </c>
      <c r="X23" s="25"/>
      <c r="Y23" s="25"/>
    </row>
    <row r="24" s="12" customFormat="1" ht="22.5" customHeight="1" spans="1:56">
      <c r="A24" s="32" t="s">
        <v>27</v>
      </c>
      <c r="B24" s="32" t="s">
        <v>32</v>
      </c>
      <c r="C24" s="33">
        <v>45419</v>
      </c>
      <c r="D24" s="33">
        <v>45478</v>
      </c>
      <c r="E24" s="35" t="s">
        <v>56</v>
      </c>
      <c r="F24" s="35"/>
      <c r="G24" s="32">
        <f>100000-50000-2250-2250-2250-2250-2250-2250</f>
        <v>36500</v>
      </c>
      <c r="H24" s="32"/>
      <c r="I24" s="32">
        <f>G24*T24</f>
        <v>912.5</v>
      </c>
      <c r="J24" s="32"/>
      <c r="K24" s="32"/>
      <c r="L24" s="32"/>
      <c r="M24" s="32"/>
      <c r="N24" s="32"/>
      <c r="O24" s="32">
        <f t="shared" si="0"/>
        <v>0</v>
      </c>
      <c r="P24" s="51">
        <v>46280</v>
      </c>
      <c r="Q24" s="51"/>
      <c r="R24" s="95">
        <f t="shared" si="1"/>
        <v>0</v>
      </c>
      <c r="S24" s="32">
        <f t="shared" si="2"/>
        <v>0</v>
      </c>
      <c r="T24" s="53">
        <v>0.025</v>
      </c>
      <c r="U24" s="52">
        <v>2500</v>
      </c>
      <c r="V24" s="33">
        <v>45421</v>
      </c>
      <c r="W24" s="32" t="s">
        <v>30</v>
      </c>
      <c r="X24" s="25"/>
      <c r="Y24" s="25"/>
    </row>
    <row r="25" s="12" customFormat="1" ht="22.5" customHeight="1" spans="1:56">
      <c r="A25" s="32" t="s">
        <v>27</v>
      </c>
      <c r="B25" s="32" t="s">
        <v>32</v>
      </c>
      <c r="C25" s="33">
        <v>45457</v>
      </c>
      <c r="D25" s="33">
        <v>45636</v>
      </c>
      <c r="E25" s="35" t="s">
        <v>57</v>
      </c>
      <c r="F25" s="35">
        <v>13705954599</v>
      </c>
      <c r="G25" s="32">
        <v>1000000</v>
      </c>
      <c r="H25" s="32">
        <v>3519228949</v>
      </c>
      <c r="I25" s="32">
        <v>18000</v>
      </c>
      <c r="J25" s="32"/>
      <c r="K25" s="32"/>
      <c r="L25" s="32"/>
      <c r="M25" s="32"/>
      <c r="N25" s="32"/>
      <c r="O25" s="32">
        <f t="shared" si="0"/>
        <v>0</v>
      </c>
      <c r="P25" s="51">
        <v>46124</v>
      </c>
      <c r="Q25" s="51"/>
      <c r="R25" s="95">
        <f t="shared" si="1"/>
        <v>0</v>
      </c>
      <c r="S25" s="32">
        <f t="shared" si="2"/>
        <v>0</v>
      </c>
      <c r="T25" s="53">
        <v>0.018</v>
      </c>
      <c r="U25" s="52"/>
      <c r="V25" s="33">
        <v>45460</v>
      </c>
      <c r="W25" s="32" t="s">
        <v>30</v>
      </c>
      <c r="X25" s="25"/>
      <c r="Y25" s="25"/>
    </row>
    <row r="26" s="12" customFormat="1" ht="22.5" customHeight="1" spans="1:56">
      <c r="A26" s="32" t="s">
        <v>58</v>
      </c>
      <c r="B26" s="32" t="s">
        <v>59</v>
      </c>
      <c r="C26" s="33">
        <v>45484</v>
      </c>
      <c r="D26" s="33">
        <v>45663</v>
      </c>
      <c r="E26" s="35" t="s">
        <v>60</v>
      </c>
      <c r="F26" s="35"/>
      <c r="G26" s="32">
        <v>500000</v>
      </c>
      <c r="H26" s="32">
        <v>3519237782</v>
      </c>
      <c r="I26" s="32"/>
      <c r="J26" s="32"/>
      <c r="K26" s="32"/>
      <c r="L26" s="32"/>
      <c r="M26" s="32"/>
      <c r="N26" s="32"/>
      <c r="O26" s="32">
        <f t="shared" si="0"/>
        <v>0</v>
      </c>
      <c r="P26" s="51">
        <v>45513</v>
      </c>
      <c r="Q26" s="51"/>
      <c r="R26" s="95">
        <f t="shared" si="1"/>
        <v>0</v>
      </c>
      <c r="S26" s="32">
        <f t="shared" si="2"/>
        <v>0</v>
      </c>
      <c r="T26" s="53">
        <v>0.005</v>
      </c>
      <c r="U26" s="52"/>
      <c r="V26" s="33">
        <v>45484</v>
      </c>
      <c r="W26" s="32" t="s">
        <v>61</v>
      </c>
      <c r="X26" s="25"/>
      <c r="Y26" s="25"/>
    </row>
    <row r="27" s="12" customFormat="1" ht="22.5" customHeight="1" spans="1:56">
      <c r="A27" s="32" t="s">
        <v>27</v>
      </c>
      <c r="B27" s="32" t="s">
        <v>28</v>
      </c>
      <c r="C27" s="33">
        <v>45574</v>
      </c>
      <c r="D27" s="33">
        <v>45663</v>
      </c>
      <c r="E27" s="35" t="s">
        <v>62</v>
      </c>
      <c r="F27" s="35">
        <v>13705971124</v>
      </c>
      <c r="G27" s="32">
        <f>500000-160000-190000</f>
        <v>150000</v>
      </c>
      <c r="H27" s="32">
        <v>3519252753</v>
      </c>
      <c r="I27" s="32">
        <f>340000*0.025</f>
        <v>8500</v>
      </c>
      <c r="J27" s="32"/>
      <c r="K27" s="32"/>
      <c r="L27" s="32"/>
      <c r="M27" s="32"/>
      <c r="N27" s="32"/>
      <c r="O27" s="32">
        <f t="shared" si="0"/>
        <v>0</v>
      </c>
      <c r="P27" s="51">
        <v>45782</v>
      </c>
      <c r="Q27" s="51"/>
      <c r="R27" s="99"/>
      <c r="S27" s="32">
        <f t="shared" si="2"/>
        <v>0</v>
      </c>
      <c r="T27" s="53">
        <v>0.025</v>
      </c>
      <c r="U27" s="52"/>
      <c r="V27" s="33">
        <v>45575</v>
      </c>
      <c r="W27" s="32" t="s">
        <v>30</v>
      </c>
      <c r="X27" s="25"/>
      <c r="Y27" s="25"/>
    </row>
    <row r="28" s="12" customFormat="1" ht="22.5" customHeight="1" spans="1:56">
      <c r="A28" s="32" t="s">
        <v>63</v>
      </c>
      <c r="B28" s="32" t="s">
        <v>59</v>
      </c>
      <c r="C28" s="33">
        <v>45590</v>
      </c>
      <c r="D28" s="33">
        <v>45679</v>
      </c>
      <c r="E28" s="35" t="s">
        <v>64</v>
      </c>
      <c r="F28" s="35"/>
      <c r="G28" s="32">
        <f>400000-140000</f>
        <v>260000</v>
      </c>
      <c r="H28" s="32">
        <v>3519252757</v>
      </c>
      <c r="I28" s="32">
        <f>G28*T28</f>
        <v>2080</v>
      </c>
      <c r="J28" s="32"/>
      <c r="K28" s="32"/>
      <c r="L28" s="32"/>
      <c r="M28" s="32"/>
      <c r="N28" s="32"/>
      <c r="O28" s="32">
        <f t="shared" si="0"/>
        <v>0</v>
      </c>
      <c r="P28" s="51">
        <v>45677</v>
      </c>
      <c r="Q28" s="51"/>
      <c r="R28" s="99"/>
      <c r="S28" s="32">
        <f t="shared" si="2"/>
        <v>0</v>
      </c>
      <c r="T28" s="60">
        <v>0.008</v>
      </c>
      <c r="U28" s="52"/>
      <c r="V28" s="33"/>
      <c r="W28" s="32"/>
      <c r="X28" s="25" t="s">
        <v>65</v>
      </c>
      <c r="Y28" s="25"/>
    </row>
    <row r="29" s="12" customFormat="1" ht="22.5" customHeight="1" spans="1:56">
      <c r="A29" s="32" t="s">
        <v>27</v>
      </c>
      <c r="B29" s="32" t="s">
        <v>32</v>
      </c>
      <c r="C29" s="33">
        <v>45590</v>
      </c>
      <c r="D29" s="33">
        <v>45619</v>
      </c>
      <c r="E29" s="35" t="s">
        <v>55</v>
      </c>
      <c r="F29" s="35">
        <v>13559198275</v>
      </c>
      <c r="G29" s="32">
        <v>200000</v>
      </c>
      <c r="H29" s="32">
        <v>3519252755</v>
      </c>
      <c r="I29" s="32">
        <f>200000*0.025</f>
        <v>5000</v>
      </c>
      <c r="J29" s="32"/>
      <c r="K29" s="32"/>
      <c r="L29" s="32"/>
      <c r="M29" s="32"/>
      <c r="N29" s="32"/>
      <c r="O29" s="32">
        <f t="shared" si="0"/>
        <v>0</v>
      </c>
      <c r="P29" s="51">
        <v>45692</v>
      </c>
      <c r="Q29" s="51"/>
      <c r="R29" s="99"/>
      <c r="S29" s="32">
        <f t="shared" si="2"/>
        <v>0</v>
      </c>
      <c r="T29" s="53">
        <v>0.025</v>
      </c>
      <c r="U29" s="52"/>
      <c r="V29" s="33"/>
      <c r="W29" s="32" t="s">
        <v>30</v>
      </c>
      <c r="X29" s="25"/>
      <c r="Y29" s="25"/>
    </row>
    <row r="30" s="12" customFormat="1" ht="22.5" customHeight="1" spans="1:56">
      <c r="A30" s="32" t="s">
        <v>27</v>
      </c>
      <c r="B30" s="32" t="s">
        <v>32</v>
      </c>
      <c r="C30" s="33">
        <v>45633</v>
      </c>
      <c r="D30" s="33">
        <v>45722</v>
      </c>
      <c r="E30" s="35" t="s">
        <v>66</v>
      </c>
      <c r="F30" s="35">
        <v>18659109900</v>
      </c>
      <c r="G30" s="32">
        <f>230000-10000</f>
        <v>220000</v>
      </c>
      <c r="H30" s="32">
        <v>3519252767</v>
      </c>
      <c r="I30" s="32">
        <f>220000*0.025</f>
        <v>5500</v>
      </c>
      <c r="J30" s="32"/>
      <c r="K30" s="32"/>
      <c r="L30" s="32"/>
      <c r="M30" s="32"/>
      <c r="N30" s="32"/>
      <c r="O30" s="32">
        <f t="shared" si="0"/>
        <v>0</v>
      </c>
      <c r="P30" s="51">
        <v>46270</v>
      </c>
      <c r="Q30" s="51"/>
      <c r="R30" s="99"/>
      <c r="S30" s="32">
        <f t="shared" si="2"/>
        <v>0</v>
      </c>
      <c r="T30" s="53">
        <v>0.025</v>
      </c>
      <c r="U30" s="52"/>
      <c r="V30" s="33">
        <v>45636</v>
      </c>
      <c r="W30" s="32" t="s">
        <v>30</v>
      </c>
      <c r="X30" s="25"/>
      <c r="Y30" s="25"/>
    </row>
    <row r="31" s="12" customFormat="1" ht="22.5" customHeight="1" spans="1:56">
      <c r="A31" s="32" t="s">
        <v>27</v>
      </c>
      <c r="B31" s="32" t="s">
        <v>28</v>
      </c>
      <c r="C31" s="33">
        <v>45723</v>
      </c>
      <c r="D31" s="33">
        <v>45812</v>
      </c>
      <c r="E31" s="35" t="s">
        <v>67</v>
      </c>
      <c r="F31" s="35">
        <v>13809505675</v>
      </c>
      <c r="G31" s="32">
        <f>550000-300000</f>
        <v>250000</v>
      </c>
      <c r="H31" s="32">
        <v>3519252780</v>
      </c>
      <c r="I31" s="32">
        <f>550000*0.025</f>
        <v>13750</v>
      </c>
      <c r="J31" s="32"/>
      <c r="K31" s="32"/>
      <c r="L31" s="32"/>
      <c r="M31" s="32"/>
      <c r="N31" s="32"/>
      <c r="O31" s="32">
        <f t="shared" si="0"/>
        <v>0</v>
      </c>
      <c r="P31" s="51">
        <v>45968</v>
      </c>
      <c r="Q31" s="51"/>
      <c r="R31" s="99"/>
      <c r="S31" s="32">
        <f t="shared" si="2"/>
        <v>0</v>
      </c>
      <c r="T31" s="53">
        <v>0.025</v>
      </c>
      <c r="U31" s="52"/>
      <c r="V31" s="33"/>
      <c r="W31" s="32" t="s">
        <v>30</v>
      </c>
      <c r="X31" s="25"/>
      <c r="Y31" s="25"/>
    </row>
    <row r="32" s="12" customFormat="1" ht="22.5" customHeight="1" spans="1:56">
      <c r="A32" s="32" t="s">
        <v>31</v>
      </c>
      <c r="B32" s="32" t="s">
        <v>32</v>
      </c>
      <c r="C32" s="33">
        <v>45758</v>
      </c>
      <c r="D32" s="33">
        <v>45846</v>
      </c>
      <c r="E32" s="35" t="s">
        <v>68</v>
      </c>
      <c r="F32" s="35">
        <v>18859197777</v>
      </c>
      <c r="G32" s="32">
        <f>50000-5000</f>
        <v>45000</v>
      </c>
      <c r="H32" s="32">
        <v>3519252785</v>
      </c>
      <c r="I32" s="32">
        <f>45000*0.03</f>
        <v>1350</v>
      </c>
      <c r="J32" s="32"/>
      <c r="K32" s="32"/>
      <c r="L32" s="32"/>
      <c r="M32" s="32"/>
      <c r="N32" s="32"/>
      <c r="O32" s="32">
        <f t="shared" si="0"/>
        <v>0</v>
      </c>
      <c r="P32" s="51">
        <v>46275</v>
      </c>
      <c r="Q32" s="51">
        <v>46275</v>
      </c>
      <c r="R32" s="99"/>
      <c r="S32" s="32">
        <f t="shared" si="2"/>
        <v>0</v>
      </c>
      <c r="T32" s="53">
        <v>0.03</v>
      </c>
      <c r="U32" s="52"/>
      <c r="V32" s="33"/>
      <c r="W32" s="32" t="s">
        <v>30</v>
      </c>
      <c r="X32" s="25"/>
      <c r="Y32" s="25"/>
    </row>
    <row r="33" s="12" customFormat="1" ht="21" customHeight="1" spans="1:25 16383:16383">
      <c r="A33" s="32" t="s">
        <v>31</v>
      </c>
      <c r="B33" s="32" t="s">
        <v>32</v>
      </c>
      <c r="C33" s="33">
        <v>45754</v>
      </c>
      <c r="D33" s="33">
        <v>45933</v>
      </c>
      <c r="E33" s="35" t="s">
        <v>69</v>
      </c>
      <c r="F33" s="35">
        <v>15605917733</v>
      </c>
      <c r="G33" s="32">
        <f>60000-5000-5000-5000-5000</f>
        <v>40000</v>
      </c>
      <c r="H33" s="32">
        <v>3519252784</v>
      </c>
      <c r="I33" s="32">
        <f>40000*0.025</f>
        <v>1000</v>
      </c>
      <c r="J33" s="32"/>
      <c r="K33" s="32"/>
      <c r="L33" s="32"/>
      <c r="M33" s="32"/>
      <c r="N33" s="32"/>
      <c r="O33" s="32">
        <f t="shared" si="0"/>
        <v>0</v>
      </c>
      <c r="P33" s="51">
        <v>46147</v>
      </c>
      <c r="Q33" s="51"/>
      <c r="R33" s="99"/>
      <c r="S33" s="32">
        <f t="shared" si="2"/>
        <v>0</v>
      </c>
      <c r="T33" s="53">
        <v>0.025</v>
      </c>
      <c r="U33" s="52"/>
      <c r="V33" s="33"/>
      <c r="W33" s="32" t="s">
        <v>30</v>
      </c>
      <c r="X33" s="25"/>
      <c r="Y33" s="25"/>
    </row>
    <row r="34" s="12" customFormat="1" ht="22.5" customHeight="1" spans="1:25 16383:16383">
      <c r="A34" s="32" t="s">
        <v>27</v>
      </c>
      <c r="B34" s="32" t="s">
        <v>32</v>
      </c>
      <c r="C34" s="33">
        <v>45821</v>
      </c>
      <c r="D34" s="33">
        <v>45910</v>
      </c>
      <c r="E34" s="35" t="s">
        <v>70</v>
      </c>
      <c r="F34" s="35">
        <v>13509389773</v>
      </c>
      <c r="G34" s="32">
        <v>60000</v>
      </c>
      <c r="H34" s="32">
        <v>3519252793</v>
      </c>
      <c r="I34" s="32">
        <f>G34*0.025</f>
        <v>1500</v>
      </c>
      <c r="J34" s="32"/>
      <c r="K34" s="32"/>
      <c r="L34" s="32"/>
      <c r="M34" s="32"/>
      <c r="N34" s="32"/>
      <c r="O34" s="32"/>
      <c r="P34" s="51">
        <v>46279</v>
      </c>
      <c r="Q34" s="51"/>
      <c r="R34" s="99"/>
      <c r="S34" s="32">
        <f t="shared" si="2"/>
        <v>0</v>
      </c>
      <c r="T34" s="53">
        <v>0.025</v>
      </c>
      <c r="U34" s="52"/>
      <c r="V34" s="33"/>
      <c r="W34" s="32" t="s">
        <v>30</v>
      </c>
      <c r="X34" s="25"/>
      <c r="Y34" s="25"/>
    </row>
    <row r="35" s="12" customFormat="1" ht="22.5" customHeight="1" spans="1:25 16383:16383">
      <c r="A35" s="32" t="s">
        <v>27</v>
      </c>
      <c r="B35" s="32" t="s">
        <v>28</v>
      </c>
      <c r="C35" s="33">
        <v>45819</v>
      </c>
      <c r="D35" s="33">
        <v>45998</v>
      </c>
      <c r="E35" s="35" t="s">
        <v>71</v>
      </c>
      <c r="F35" s="35">
        <v>13850169648</v>
      </c>
      <c r="G35" s="32">
        <v>790000</v>
      </c>
      <c r="H35" s="32">
        <v>3519252792</v>
      </c>
      <c r="I35" s="32">
        <f>790000*0.025</f>
        <v>19750</v>
      </c>
      <c r="J35" s="32"/>
      <c r="K35" s="32"/>
      <c r="L35" s="32"/>
      <c r="M35" s="32"/>
      <c r="N35" s="32"/>
      <c r="O35" s="32"/>
      <c r="P35" s="51">
        <v>45819</v>
      </c>
      <c r="Q35" s="51"/>
      <c r="R35" s="99"/>
      <c r="S35" s="32">
        <f t="shared" si="2"/>
        <v>0</v>
      </c>
      <c r="T35" s="53">
        <v>0.025</v>
      </c>
      <c r="U35" s="52"/>
      <c r="V35" s="33"/>
      <c r="W35" s="32" t="s">
        <v>30</v>
      </c>
      <c r="X35" s="25"/>
      <c r="Y35" s="25"/>
    </row>
    <row r="36" s="12" customFormat="1" ht="22.5" customHeight="1" spans="1:25 16383:16383">
      <c r="A36" s="32" t="s">
        <v>27</v>
      </c>
      <c r="B36" s="32" t="s">
        <v>32</v>
      </c>
      <c r="C36" s="33">
        <v>45895</v>
      </c>
      <c r="D36" s="33">
        <v>45924</v>
      </c>
      <c r="E36" s="35" t="s">
        <v>72</v>
      </c>
      <c r="F36" s="35">
        <v>13788892386</v>
      </c>
      <c r="G36" s="32">
        <f>500000-160000</f>
        <v>340000</v>
      </c>
      <c r="H36" s="32">
        <v>3519252800</v>
      </c>
      <c r="I36" s="32">
        <f>340000*0.016</f>
        <v>5440</v>
      </c>
      <c r="J36" s="32"/>
      <c r="K36" s="32"/>
      <c r="L36" s="32"/>
      <c r="M36" s="32"/>
      <c r="N36" s="32"/>
      <c r="O36" s="32"/>
      <c r="P36" s="51">
        <v>46137</v>
      </c>
      <c r="Q36" s="51"/>
      <c r="R36" s="99"/>
      <c r="S36" s="32">
        <v>0</v>
      </c>
      <c r="T36" s="53">
        <v>0.016</v>
      </c>
      <c r="U36" s="52"/>
      <c r="V36" s="33"/>
      <c r="W36" s="32" t="s">
        <v>30</v>
      </c>
      <c r="X36" s="25"/>
      <c r="Y36" s="25"/>
    </row>
    <row r="37" s="12" customFormat="1" ht="22.5" customHeight="1" spans="1:25 16383:16383">
      <c r="A37" s="32" t="s">
        <v>27</v>
      </c>
      <c r="B37" s="32" t="s">
        <v>32</v>
      </c>
      <c r="C37" s="33">
        <v>45951</v>
      </c>
      <c r="D37" s="33">
        <v>46010</v>
      </c>
      <c r="E37" s="35" t="s">
        <v>73</v>
      </c>
      <c r="F37" s="35">
        <v>13960929966</v>
      </c>
      <c r="G37" s="32">
        <v>100000</v>
      </c>
      <c r="H37" s="35">
        <v>3519260505</v>
      </c>
      <c r="I37" s="32">
        <f>G37*0.025</f>
        <v>2500</v>
      </c>
      <c r="J37" s="32"/>
      <c r="K37" s="32"/>
      <c r="L37" s="32"/>
      <c r="M37" s="32"/>
      <c r="N37" s="32"/>
      <c r="O37" s="32"/>
      <c r="P37" s="51">
        <v>46273</v>
      </c>
      <c r="Q37" s="51">
        <v>46273</v>
      </c>
      <c r="R37" s="99"/>
      <c r="S37" s="32"/>
      <c r="T37" s="53">
        <v>0.025</v>
      </c>
      <c r="U37" s="52"/>
      <c r="V37" s="33"/>
      <c r="W37" s="32" t="s">
        <v>30</v>
      </c>
      <c r="X37" s="25"/>
      <c r="Y37" s="25"/>
    </row>
    <row r="38" s="12" customFormat="1" ht="22.5" customHeight="1" spans="1:25 16383:16383">
      <c r="A38" s="32" t="s">
        <v>63</v>
      </c>
      <c r="B38" s="32" t="s">
        <v>59</v>
      </c>
      <c r="C38" s="33">
        <v>45900</v>
      </c>
      <c r="D38" s="33">
        <v>45959</v>
      </c>
      <c r="E38" s="35" t="s">
        <v>74</v>
      </c>
      <c r="F38" s="35">
        <v>13805082625</v>
      </c>
      <c r="G38" s="32">
        <v>500000</v>
      </c>
      <c r="H38" s="32">
        <v>3519260503</v>
      </c>
      <c r="I38" s="32"/>
      <c r="J38" s="32"/>
      <c r="K38" s="32"/>
      <c r="L38" s="32"/>
      <c r="M38" s="32"/>
      <c r="N38" s="32"/>
      <c r="O38" s="51"/>
      <c r="P38" s="51">
        <v>45900</v>
      </c>
      <c r="Q38" s="95"/>
      <c r="R38" s="32"/>
      <c r="S38" s="53"/>
      <c r="T38" s="52"/>
      <c r="U38" s="33"/>
      <c r="V38" s="32"/>
      <c r="W38" s="25"/>
      <c r="X38" s="25"/>
      <c r="XFC38" s="32"/>
    </row>
    <row r="39" s="12" customFormat="1" ht="22.5" customHeight="1" spans="1:25 16383:16383">
      <c r="A39" s="32" t="s">
        <v>27</v>
      </c>
      <c r="B39" s="32" t="s">
        <v>32</v>
      </c>
      <c r="C39" s="33">
        <v>45953</v>
      </c>
      <c r="D39" s="33">
        <v>46132</v>
      </c>
      <c r="E39" s="35" t="s">
        <v>75</v>
      </c>
      <c r="F39" s="35">
        <v>13705954599</v>
      </c>
      <c r="G39" s="32">
        <v>200000</v>
      </c>
      <c r="H39" s="32">
        <v>3519260506</v>
      </c>
      <c r="I39" s="32">
        <f>100000*0.018+100000*0.015</f>
        <v>3300</v>
      </c>
      <c r="J39" s="32"/>
      <c r="K39" s="32"/>
      <c r="L39" s="32"/>
      <c r="M39" s="32"/>
      <c r="N39" s="32"/>
      <c r="O39" s="32"/>
      <c r="P39" s="51">
        <v>46135</v>
      </c>
      <c r="Q39" s="51"/>
      <c r="R39" s="99"/>
      <c r="S39" s="32"/>
      <c r="T39" s="53">
        <v>0.018</v>
      </c>
      <c r="U39" s="52"/>
      <c r="V39" s="33"/>
      <c r="W39" s="32" t="s">
        <v>30</v>
      </c>
      <c r="X39" s="25"/>
      <c r="Y39" s="25"/>
    </row>
    <row r="40" s="12" customFormat="1" ht="22.5" customHeight="1" spans="1:25 16383:16383">
      <c r="A40" s="32" t="s">
        <v>27</v>
      </c>
      <c r="B40" s="32" t="s">
        <v>32</v>
      </c>
      <c r="C40" s="33">
        <v>45964</v>
      </c>
      <c r="D40" s="33">
        <v>45778</v>
      </c>
      <c r="E40" s="35" t="s">
        <v>76</v>
      </c>
      <c r="F40" s="35"/>
      <c r="G40" s="32">
        <v>300000</v>
      </c>
      <c r="H40" s="32"/>
      <c r="I40" s="32">
        <f>G40*0.018</f>
        <v>5400</v>
      </c>
      <c r="J40" s="32"/>
      <c r="K40" s="32"/>
      <c r="L40" s="32"/>
      <c r="M40" s="32"/>
      <c r="N40" s="32"/>
      <c r="O40" s="32"/>
      <c r="P40" s="51">
        <v>46268</v>
      </c>
      <c r="Q40" s="51">
        <v>46268</v>
      </c>
      <c r="R40" s="99"/>
      <c r="S40" s="32"/>
      <c r="T40" s="53">
        <v>0.018</v>
      </c>
      <c r="U40" s="52"/>
      <c r="V40" s="33"/>
      <c r="W40" s="32" t="s">
        <v>61</v>
      </c>
      <c r="X40" s="25"/>
      <c r="Y40" s="25"/>
    </row>
    <row r="41" s="12" customFormat="1" ht="22.5" customHeight="1" spans="1:25 16383:16383">
      <c r="A41" s="32" t="s">
        <v>27</v>
      </c>
      <c r="B41" s="32" t="s">
        <v>32</v>
      </c>
      <c r="C41" s="33">
        <v>45982</v>
      </c>
      <c r="D41" s="33">
        <v>46072</v>
      </c>
      <c r="E41" s="35" t="s">
        <v>77</v>
      </c>
      <c r="F41" s="35">
        <v>18605916313</v>
      </c>
      <c r="G41" s="32">
        <f>50000+150000</f>
        <v>200000</v>
      </c>
      <c r="H41" s="32"/>
      <c r="I41" s="32">
        <f t="shared" ref="I41:I45" si="3">G41*0.025</f>
        <v>5000</v>
      </c>
      <c r="J41" s="32"/>
      <c r="K41" s="32"/>
      <c r="L41" s="32"/>
      <c r="M41" s="32"/>
      <c r="N41" s="32"/>
      <c r="O41" s="32"/>
      <c r="P41" s="51">
        <v>46285</v>
      </c>
      <c r="Q41" s="51"/>
      <c r="R41" s="99"/>
      <c r="S41" s="32"/>
      <c r="T41" s="53">
        <v>0.025</v>
      </c>
      <c r="U41" s="52"/>
      <c r="V41" s="33"/>
      <c r="W41" s="32" t="s">
        <v>30</v>
      </c>
      <c r="X41" s="25"/>
      <c r="Y41" s="25"/>
    </row>
    <row r="42" s="12" customFormat="1" ht="27" customHeight="1" spans="1:25 16383:16383">
      <c r="A42" s="97" t="s">
        <v>31</v>
      </c>
      <c r="B42" s="32" t="s">
        <v>32</v>
      </c>
      <c r="C42" s="33">
        <v>46037</v>
      </c>
      <c r="D42" s="33">
        <v>46216</v>
      </c>
      <c r="E42" s="35" t="s">
        <v>78</v>
      </c>
      <c r="F42" s="35">
        <v>13860608323</v>
      </c>
      <c r="G42" s="32">
        <f>60000-3500-3500</f>
        <v>53000</v>
      </c>
      <c r="H42" s="35">
        <v>3519260513</v>
      </c>
      <c r="I42" s="32">
        <f>60000*0.025</f>
        <v>1500</v>
      </c>
      <c r="J42" s="32"/>
      <c r="K42" s="32"/>
      <c r="L42" s="32"/>
      <c r="M42" s="32"/>
      <c r="N42" s="32"/>
      <c r="O42" s="32"/>
      <c r="P42" s="51">
        <v>46188</v>
      </c>
      <c r="Q42" s="51"/>
      <c r="R42" s="99"/>
      <c r="S42" s="32"/>
      <c r="T42" s="53">
        <v>0.025</v>
      </c>
      <c r="U42" s="52"/>
      <c r="V42" s="33"/>
      <c r="W42" s="32"/>
      <c r="X42" s="25"/>
      <c r="Y42" s="25"/>
    </row>
    <row r="43" s="12" customFormat="1" ht="22.5" customHeight="1" spans="1:25 16383:16383">
      <c r="A43" s="32" t="s">
        <v>27</v>
      </c>
      <c r="B43" s="32" t="s">
        <v>32</v>
      </c>
      <c r="C43" s="33">
        <v>46037</v>
      </c>
      <c r="D43" s="33">
        <v>46096</v>
      </c>
      <c r="E43" s="35" t="s">
        <v>79</v>
      </c>
      <c r="F43" s="35">
        <v>13067317996</v>
      </c>
      <c r="G43" s="32">
        <v>100000</v>
      </c>
      <c r="H43" s="35">
        <v>3519260512</v>
      </c>
      <c r="I43" s="32">
        <f t="shared" si="3"/>
        <v>2500</v>
      </c>
      <c r="J43" s="32"/>
      <c r="K43" s="32"/>
      <c r="L43" s="32"/>
      <c r="M43" s="32"/>
      <c r="N43" s="32"/>
      <c r="O43" s="32"/>
      <c r="P43" s="51">
        <v>46280</v>
      </c>
      <c r="Q43" s="51"/>
      <c r="R43" s="99"/>
      <c r="S43" s="32"/>
      <c r="T43" s="53">
        <v>0.025</v>
      </c>
      <c r="U43" s="52"/>
      <c r="V43" s="33"/>
      <c r="W43" s="32"/>
      <c r="X43" s="25"/>
      <c r="Y43" s="25"/>
    </row>
    <row r="44" s="12" customFormat="1" ht="22.5" customHeight="1" spans="1:25 16383:16383">
      <c r="A44" s="32" t="s">
        <v>63</v>
      </c>
      <c r="B44" s="32" t="s">
        <v>59</v>
      </c>
      <c r="C44" s="33">
        <v>46059</v>
      </c>
      <c r="D44" s="33"/>
      <c r="E44" s="35" t="s">
        <v>60</v>
      </c>
      <c r="F44" s="35"/>
      <c r="G44" s="32">
        <f>900000-400000</f>
        <v>500000</v>
      </c>
      <c r="H44" s="32">
        <v>3519260516</v>
      </c>
      <c r="I44" s="32"/>
      <c r="J44" s="32"/>
      <c r="K44" s="32"/>
      <c r="L44" s="32"/>
      <c r="M44" s="32"/>
      <c r="N44" s="32"/>
      <c r="O44" s="32">
        <f>J44+L44+M44+N44</f>
        <v>0</v>
      </c>
      <c r="P44" s="51">
        <v>46059</v>
      </c>
      <c r="Q44" s="51"/>
      <c r="R44" s="95">
        <f>IF((DATEDIF(P44,Q44,"D"))&gt;0,(DATEDIF(P44,Q44,"D")),0)</f>
        <v>0</v>
      </c>
      <c r="S44" s="32">
        <f>G44*$S$1*R44-N44</f>
        <v>0</v>
      </c>
      <c r="T44" s="53">
        <v>0.005</v>
      </c>
      <c r="U44" s="52"/>
      <c r="V44" s="33">
        <v>45484</v>
      </c>
      <c r="W44" s="32" t="s">
        <v>61</v>
      </c>
      <c r="X44" s="25"/>
      <c r="Y44" s="25"/>
    </row>
    <row r="45" s="12" customFormat="1" ht="22.5" customHeight="1" spans="1:25 16383:16383">
      <c r="A45" s="32" t="s">
        <v>27</v>
      </c>
      <c r="B45" s="32" t="s">
        <v>32</v>
      </c>
      <c r="C45" s="33">
        <v>46066</v>
      </c>
      <c r="D45" s="33">
        <v>46244</v>
      </c>
      <c r="E45" s="35" t="s">
        <v>80</v>
      </c>
      <c r="F45" s="35">
        <v>13515003389</v>
      </c>
      <c r="G45" s="32">
        <v>500000</v>
      </c>
      <c r="H45" s="35">
        <v>3519260517</v>
      </c>
      <c r="I45" s="32">
        <f t="shared" si="3"/>
        <v>12500</v>
      </c>
      <c r="J45" s="32"/>
      <c r="K45" s="32"/>
      <c r="L45" s="32"/>
      <c r="M45" s="32"/>
      <c r="N45" s="32"/>
      <c r="O45" s="32"/>
      <c r="P45" s="51">
        <v>46278</v>
      </c>
      <c r="Q45" s="51"/>
      <c r="R45" s="99"/>
      <c r="S45" s="32"/>
      <c r="T45" s="53">
        <v>0.025</v>
      </c>
      <c r="U45" s="52"/>
      <c r="V45" s="33"/>
      <c r="W45" s="32"/>
      <c r="X45" s="25"/>
      <c r="Y45" s="25"/>
    </row>
    <row r="46" s="12" customFormat="1" ht="22.5" customHeight="1" spans="1:25 16383:16383">
      <c r="A46" s="32" t="s">
        <v>58</v>
      </c>
      <c r="B46" s="32" t="s">
        <v>59</v>
      </c>
      <c r="C46" s="33">
        <v>46097</v>
      </c>
      <c r="D46" s="33"/>
      <c r="E46" s="35" t="s">
        <v>74</v>
      </c>
      <c r="F46" s="35">
        <v>13805082625</v>
      </c>
      <c r="G46" s="32">
        <v>330000</v>
      </c>
      <c r="H46" s="32">
        <v>3519260519</v>
      </c>
      <c r="I46" s="32">
        <f t="shared" ref="I46:I49" si="4">G46*T46</f>
        <v>231</v>
      </c>
      <c r="J46" s="32"/>
      <c r="K46" s="32"/>
      <c r="L46" s="32"/>
      <c r="M46" s="32"/>
      <c r="N46" s="32"/>
      <c r="O46" s="32"/>
      <c r="P46" s="51">
        <v>46097</v>
      </c>
      <c r="Q46" s="51"/>
      <c r="R46" s="95"/>
      <c r="S46" s="32"/>
      <c r="T46" s="53">
        <v>0.0007</v>
      </c>
      <c r="U46" s="52"/>
      <c r="V46" s="33"/>
      <c r="W46" s="32"/>
      <c r="X46" s="25"/>
      <c r="Y46" s="25"/>
    </row>
    <row r="47" s="12" customFormat="1" ht="22.5" customHeight="1" spans="1:25 16383:16383">
      <c r="A47" s="32" t="s">
        <v>81</v>
      </c>
      <c r="B47" s="32" t="s">
        <v>32</v>
      </c>
      <c r="C47" s="33">
        <v>46099</v>
      </c>
      <c r="D47" s="33">
        <v>46278</v>
      </c>
      <c r="E47" s="35" t="s">
        <v>82</v>
      </c>
      <c r="F47" s="35">
        <v>13960987280</v>
      </c>
      <c r="G47" s="32">
        <v>35000</v>
      </c>
      <c r="H47" s="35">
        <v>3519260520</v>
      </c>
      <c r="I47" s="32">
        <v>800</v>
      </c>
      <c r="J47" s="32">
        <f>G47*T47</f>
        <v>105</v>
      </c>
      <c r="K47" s="32"/>
      <c r="L47" s="32"/>
      <c r="M47" s="32"/>
      <c r="N47" s="32"/>
      <c r="O47" s="32"/>
      <c r="P47" s="51">
        <v>46282</v>
      </c>
      <c r="Q47" s="51"/>
      <c r="R47" s="99"/>
      <c r="S47" s="32"/>
      <c r="T47" s="53">
        <v>0.003</v>
      </c>
      <c r="U47" s="52"/>
      <c r="V47" s="33"/>
      <c r="W47" s="32"/>
      <c r="X47" s="25"/>
      <c r="Y47" s="25"/>
    </row>
    <row r="48" s="12" customFormat="1" ht="22.5" customHeight="1" spans="1:25 16383:16383">
      <c r="A48" s="32" t="s">
        <v>27</v>
      </c>
      <c r="B48" s="32" t="s">
        <v>32</v>
      </c>
      <c r="C48" s="33">
        <v>46111</v>
      </c>
      <c r="D48" s="33">
        <v>46290</v>
      </c>
      <c r="E48" s="35" t="s">
        <v>83</v>
      </c>
      <c r="F48" s="35">
        <v>15005914264</v>
      </c>
      <c r="G48" s="32">
        <f>230000-130000</f>
        <v>100000</v>
      </c>
      <c r="H48" s="35">
        <v>3519260522</v>
      </c>
      <c r="I48" s="32">
        <f>G48*0.02</f>
        <v>2000</v>
      </c>
      <c r="J48" s="32"/>
      <c r="K48" s="32"/>
      <c r="L48" s="32"/>
      <c r="M48" s="32"/>
      <c r="N48" s="32"/>
      <c r="O48" s="32"/>
      <c r="P48" s="51">
        <v>46294</v>
      </c>
      <c r="Q48" s="51"/>
      <c r="R48" s="99"/>
      <c r="S48" s="32"/>
      <c r="T48" s="53">
        <v>0.02</v>
      </c>
      <c r="U48" s="52"/>
      <c r="V48" s="33"/>
      <c r="W48" s="32"/>
      <c r="X48" s="25"/>
      <c r="Y48" s="25"/>
    </row>
    <row r="49" s="12" customFormat="1" ht="22.5" customHeight="1" spans="1:25">
      <c r="A49" s="32" t="s">
        <v>27</v>
      </c>
      <c r="B49" s="32" t="s">
        <v>32</v>
      </c>
      <c r="C49" s="33">
        <v>46163</v>
      </c>
      <c r="D49" s="33">
        <v>46252</v>
      </c>
      <c r="E49" s="35" t="s">
        <v>83</v>
      </c>
      <c r="F49" s="35">
        <v>18805023484</v>
      </c>
      <c r="G49" s="32">
        <v>50000</v>
      </c>
      <c r="H49" s="35">
        <v>3524019227</v>
      </c>
      <c r="I49" s="32">
        <f t="shared" si="4"/>
        <v>1000</v>
      </c>
      <c r="J49" s="32"/>
      <c r="K49" s="32"/>
      <c r="L49" s="32"/>
      <c r="M49" s="32"/>
      <c r="N49" s="32"/>
      <c r="O49" s="32"/>
      <c r="P49" s="51">
        <v>46285</v>
      </c>
      <c r="Q49" s="51"/>
      <c r="R49" s="99"/>
      <c r="S49" s="32"/>
      <c r="T49" s="53">
        <v>0.02</v>
      </c>
      <c r="U49" s="52"/>
      <c r="V49" s="33"/>
      <c r="W49" s="32"/>
      <c r="X49" s="25"/>
      <c r="Y49" s="25"/>
    </row>
    <row r="50" s="12" customFormat="1" ht="22.5" customHeight="1" spans="1:25">
      <c r="A50" s="32" t="s">
        <v>27</v>
      </c>
      <c r="B50" s="32" t="s">
        <v>39</v>
      </c>
      <c r="C50" s="33">
        <v>46149</v>
      </c>
      <c r="D50" s="33">
        <v>46238</v>
      </c>
      <c r="E50" s="35" t="s">
        <v>40</v>
      </c>
      <c r="F50" s="35">
        <v>13850175177</v>
      </c>
      <c r="G50" s="32">
        <v>20000</v>
      </c>
      <c r="H50" s="35">
        <v>3519260523</v>
      </c>
      <c r="I50" s="32">
        <f>G50*0.025</f>
        <v>500</v>
      </c>
      <c r="J50" s="32"/>
      <c r="K50" s="32"/>
      <c r="L50" s="32"/>
      <c r="M50" s="32"/>
      <c r="N50" s="32"/>
      <c r="O50" s="32"/>
      <c r="P50" s="51">
        <v>46149</v>
      </c>
      <c r="Q50" s="51"/>
      <c r="R50" s="99"/>
      <c r="S50" s="32"/>
      <c r="T50" s="53">
        <v>0.025</v>
      </c>
      <c r="U50" s="52"/>
      <c r="V50" s="33"/>
      <c r="W50" s="32"/>
      <c r="X50" s="25"/>
      <c r="Y50" s="25"/>
    </row>
    <row r="51" s="12" customFormat="1" ht="22.5" customHeight="1" spans="1:25">
      <c r="A51" s="32" t="s">
        <v>84</v>
      </c>
      <c r="B51" s="32" t="s">
        <v>32</v>
      </c>
      <c r="C51" s="33">
        <v>46156</v>
      </c>
      <c r="D51" s="33">
        <v>46185</v>
      </c>
      <c r="E51" s="35" t="s">
        <v>85</v>
      </c>
      <c r="F51" s="35">
        <v>13306046018</v>
      </c>
      <c r="G51" s="32">
        <v>100000</v>
      </c>
      <c r="H51" s="35">
        <v>3519260525</v>
      </c>
      <c r="I51" s="32">
        <v>3000</v>
      </c>
      <c r="J51" s="32">
        <f>G51*T51</f>
        <v>500</v>
      </c>
      <c r="K51" s="32"/>
      <c r="L51" s="32"/>
      <c r="M51" s="32"/>
      <c r="N51" s="32"/>
      <c r="O51" s="32"/>
      <c r="P51" s="51">
        <v>46277</v>
      </c>
      <c r="Q51" s="51"/>
      <c r="R51" s="99"/>
      <c r="S51" s="32"/>
      <c r="T51" s="53">
        <v>0.005</v>
      </c>
      <c r="U51" s="52"/>
      <c r="V51" s="33"/>
      <c r="W51" s="32"/>
      <c r="X51" s="25"/>
      <c r="Y51" s="25"/>
    </row>
    <row r="52" s="12" customFormat="1" ht="22.5" customHeight="1" spans="1:25">
      <c r="A52" s="32" t="s">
        <v>86</v>
      </c>
      <c r="B52" s="32" t="s">
        <v>32</v>
      </c>
      <c r="C52" s="33">
        <v>46160</v>
      </c>
      <c r="D52" s="33">
        <v>46219</v>
      </c>
      <c r="E52" s="35" t="s">
        <v>87</v>
      </c>
      <c r="F52" s="35">
        <v>18105915567</v>
      </c>
      <c r="G52" s="32">
        <f>95000-2000</f>
        <v>93000</v>
      </c>
      <c r="H52" s="35">
        <v>3524019226</v>
      </c>
      <c r="I52" s="12">
        <v>2875</v>
      </c>
      <c r="J52" s="32">
        <f>G52*T52</f>
        <v>465</v>
      </c>
      <c r="K52" s="32"/>
      <c r="L52" s="32"/>
      <c r="M52" s="32"/>
      <c r="N52" s="32"/>
      <c r="O52" s="32"/>
      <c r="P52" s="51">
        <v>46282</v>
      </c>
      <c r="Q52" s="51"/>
      <c r="R52" s="99"/>
      <c r="S52" s="32"/>
      <c r="T52" s="53">
        <v>0.005</v>
      </c>
      <c r="U52" s="52"/>
      <c r="V52" s="33"/>
      <c r="W52" s="32"/>
      <c r="X52" s="25"/>
      <c r="Y52" s="25"/>
    </row>
    <row r="53" s="12" customFormat="1" ht="22.5" customHeight="1" spans="1:25">
      <c r="A53" s="32" t="s">
        <v>58</v>
      </c>
      <c r="B53" s="32" t="s">
        <v>59</v>
      </c>
      <c r="C53" s="33">
        <v>46168</v>
      </c>
      <c r="D53" s="33">
        <v>46183</v>
      </c>
      <c r="E53" s="35" t="s">
        <v>64</v>
      </c>
      <c r="F53" s="35">
        <v>15060433337</v>
      </c>
      <c r="G53" s="32">
        <v>300000</v>
      </c>
      <c r="H53" s="35"/>
      <c r="I53" s="32">
        <f>G53*T53</f>
        <v>1200</v>
      </c>
      <c r="J53" s="32"/>
      <c r="K53" s="32"/>
      <c r="L53" s="32"/>
      <c r="M53" s="32"/>
      <c r="N53" s="32"/>
      <c r="O53" s="32"/>
      <c r="P53" s="51">
        <v>46168</v>
      </c>
      <c r="Q53" s="51"/>
      <c r="R53" s="99"/>
      <c r="S53" s="32"/>
      <c r="T53" s="53">
        <v>0.004</v>
      </c>
      <c r="U53" s="52"/>
      <c r="V53" s="33"/>
      <c r="W53" s="32"/>
      <c r="X53" s="25"/>
      <c r="Y53" s="25"/>
    </row>
    <row r="54" s="12" customFormat="1" ht="22.5" customHeight="1" spans="1:25">
      <c r="A54" s="32" t="s">
        <v>81</v>
      </c>
      <c r="B54" s="32" t="s">
        <v>32</v>
      </c>
      <c r="C54" s="33">
        <v>46174</v>
      </c>
      <c r="D54" s="33">
        <v>46353</v>
      </c>
      <c r="E54" s="35" t="s">
        <v>88</v>
      </c>
      <c r="F54" s="35">
        <v>13003800159</v>
      </c>
      <c r="G54" s="32">
        <v>208000</v>
      </c>
      <c r="H54" s="35">
        <v>3524019231</v>
      </c>
      <c r="I54" s="32">
        <v>5200</v>
      </c>
      <c r="J54" s="32">
        <f>G54*T54</f>
        <v>936</v>
      </c>
      <c r="K54" s="32"/>
      <c r="L54" s="32"/>
      <c r="M54" s="32"/>
      <c r="N54" s="32"/>
      <c r="O54" s="32"/>
      <c r="P54" s="51">
        <v>46295</v>
      </c>
      <c r="Q54" s="51"/>
      <c r="R54" s="99"/>
      <c r="S54" s="32"/>
      <c r="T54" s="53">
        <v>0.0045</v>
      </c>
      <c r="U54" s="52"/>
      <c r="V54" s="33"/>
      <c r="W54" s="32"/>
      <c r="X54" s="25"/>
      <c r="Y54" s="25"/>
    </row>
    <row r="55" s="12" customFormat="1" ht="22.5" customHeight="1" spans="1:25">
      <c r="A55" s="32" t="s">
        <v>27</v>
      </c>
      <c r="B55" s="32" t="s">
        <v>32</v>
      </c>
      <c r="C55" s="33">
        <v>46173</v>
      </c>
      <c r="D55" s="33">
        <v>46202</v>
      </c>
      <c r="E55" s="35" t="s">
        <v>89</v>
      </c>
      <c r="F55" s="35">
        <v>13609595117</v>
      </c>
      <c r="G55" s="32">
        <v>200000</v>
      </c>
      <c r="H55" s="35">
        <v>3524019230</v>
      </c>
      <c r="I55" s="32">
        <f>G55*T55</f>
        <v>5000</v>
      </c>
      <c r="J55" s="32"/>
      <c r="K55" s="32"/>
      <c r="L55" s="32"/>
      <c r="M55" s="32"/>
      <c r="N55" s="32"/>
      <c r="O55" s="32"/>
      <c r="P55" s="51">
        <v>46266</v>
      </c>
      <c r="Q55" s="51">
        <v>46266</v>
      </c>
      <c r="R55" s="99"/>
      <c r="S55" s="32"/>
      <c r="T55" s="53">
        <v>0.025</v>
      </c>
      <c r="U55" s="52"/>
      <c r="V55" s="33"/>
      <c r="W55" s="32"/>
      <c r="X55" s="25"/>
      <c r="Y55" s="25"/>
    </row>
    <row r="56" s="12" customFormat="1" ht="22.5" customHeight="1" spans="1:25">
      <c r="A56" s="32" t="s">
        <v>81</v>
      </c>
      <c r="B56" s="32" t="s">
        <v>59</v>
      </c>
      <c r="C56" s="33">
        <v>46182</v>
      </c>
      <c r="D56" s="33">
        <v>46211</v>
      </c>
      <c r="E56" s="35" t="s">
        <v>90</v>
      </c>
      <c r="F56" s="35">
        <v>15159647120</v>
      </c>
      <c r="G56" s="32">
        <f>380000-30000</f>
        <v>350000</v>
      </c>
      <c r="H56" s="35">
        <v>3524019232</v>
      </c>
      <c r="I56" s="32">
        <f>G56*T56</f>
        <v>350</v>
      </c>
      <c r="J56" s="32"/>
      <c r="K56" s="32"/>
      <c r="L56" s="32"/>
      <c r="M56" s="32"/>
      <c r="N56" s="32"/>
      <c r="O56" s="32"/>
      <c r="P56" s="51">
        <v>46182</v>
      </c>
      <c r="Q56" s="51"/>
      <c r="R56" s="99"/>
      <c r="S56" s="32"/>
      <c r="T56" s="53">
        <v>0.001</v>
      </c>
      <c r="U56" s="52"/>
      <c r="V56" s="33"/>
      <c r="W56" s="32"/>
      <c r="X56" s="25"/>
      <c r="Y56" s="25"/>
    </row>
    <row r="57" s="12" customFormat="1" ht="22.5" customHeight="1" spans="1:25">
      <c r="A57" s="32" t="s">
        <v>81</v>
      </c>
      <c r="B57" s="32" t="s">
        <v>32</v>
      </c>
      <c r="C57" s="33">
        <v>46183</v>
      </c>
      <c r="D57" s="33">
        <v>46362</v>
      </c>
      <c r="E57" s="35" t="s">
        <v>91</v>
      </c>
      <c r="F57" s="35">
        <v>13763816036</v>
      </c>
      <c r="G57" s="32">
        <v>18000</v>
      </c>
      <c r="H57" s="35">
        <v>3524019233</v>
      </c>
      <c r="I57" s="32">
        <v>540</v>
      </c>
      <c r="J57" s="32">
        <f>G57*T57</f>
        <v>90</v>
      </c>
      <c r="K57" s="32"/>
      <c r="L57" s="32"/>
      <c r="M57" s="32"/>
      <c r="N57" s="32"/>
      <c r="O57" s="32"/>
      <c r="P57" s="51">
        <v>46274</v>
      </c>
      <c r="Q57" s="51">
        <v>46274</v>
      </c>
      <c r="R57" s="99"/>
      <c r="S57" s="32"/>
      <c r="T57" s="53">
        <v>0.005</v>
      </c>
      <c r="U57" s="52"/>
      <c r="V57" s="33"/>
      <c r="W57" s="32"/>
      <c r="X57" s="25"/>
      <c r="Y57" s="25"/>
    </row>
    <row r="58" s="12" customFormat="1" ht="22.5" customHeight="1" spans="1:25">
      <c r="A58" s="32" t="s">
        <v>92</v>
      </c>
      <c r="B58" s="32" t="s">
        <v>32</v>
      </c>
      <c r="C58" s="33">
        <v>46195</v>
      </c>
      <c r="D58" s="33">
        <v>46374</v>
      </c>
      <c r="E58" s="35" t="s">
        <v>93</v>
      </c>
      <c r="F58" s="35">
        <v>13509523067</v>
      </c>
      <c r="G58" s="32">
        <v>60000</v>
      </c>
      <c r="H58" s="35">
        <v>3524019235</v>
      </c>
      <c r="I58" s="32">
        <v>1500</v>
      </c>
      <c r="J58" s="32">
        <f>G58*T58</f>
        <v>240</v>
      </c>
      <c r="K58" s="32"/>
      <c r="L58" s="32"/>
      <c r="M58" s="32"/>
      <c r="N58" s="32"/>
      <c r="O58" s="32"/>
      <c r="P58" s="51">
        <v>46286</v>
      </c>
      <c r="Q58" s="51"/>
      <c r="R58" s="99"/>
      <c r="S58" s="32"/>
      <c r="T58" s="53">
        <v>0.004</v>
      </c>
      <c r="U58" s="52"/>
      <c r="V58" s="33"/>
      <c r="W58" s="32"/>
      <c r="X58" s="25"/>
      <c r="Y58" s="25"/>
    </row>
    <row r="59" s="12" customFormat="1" ht="22.5" customHeight="1" spans="1:25">
      <c r="A59" s="32" t="s">
        <v>86</v>
      </c>
      <c r="B59" s="32" t="s">
        <v>32</v>
      </c>
      <c r="C59" s="33">
        <v>46210</v>
      </c>
      <c r="D59" s="33">
        <v>46389</v>
      </c>
      <c r="E59" s="35" t="s">
        <v>94</v>
      </c>
      <c r="F59" s="35">
        <v>18259980798</v>
      </c>
      <c r="G59" s="32">
        <f>50000-2083.33-2083.33-2083.33</f>
        <v>43750.01</v>
      </c>
      <c r="H59" s="35">
        <v>3524019237</v>
      </c>
      <c r="I59" s="32">
        <f>50000*T59</f>
        <v>1250</v>
      </c>
      <c r="J59" s="32"/>
      <c r="K59" s="32"/>
      <c r="L59" s="32"/>
      <c r="M59" s="39"/>
      <c r="N59" s="32"/>
      <c r="O59" s="32"/>
      <c r="P59" s="51">
        <v>46271</v>
      </c>
      <c r="Q59" s="51">
        <v>46271</v>
      </c>
      <c r="R59" s="99"/>
      <c r="S59" s="32"/>
      <c r="T59" s="53">
        <v>0.025</v>
      </c>
      <c r="U59" s="52"/>
      <c r="V59" s="33"/>
      <c r="W59" s="32"/>
      <c r="X59" s="25"/>
      <c r="Y59" s="25"/>
    </row>
    <row r="60" s="12" customFormat="1" ht="22.5" customHeight="1" spans="1:25">
      <c r="A60" s="32" t="s">
        <v>47</v>
      </c>
      <c r="B60" s="32" t="s">
        <v>39</v>
      </c>
      <c r="C60" s="33">
        <v>46219</v>
      </c>
      <c r="D60" s="33">
        <v>46398</v>
      </c>
      <c r="E60" s="35" t="s">
        <v>95</v>
      </c>
      <c r="F60" s="35">
        <v>13860629781</v>
      </c>
      <c r="G60" s="32">
        <v>400000</v>
      </c>
      <c r="H60" s="61">
        <v>3524019243</v>
      </c>
      <c r="I60" s="32">
        <f t="shared" ref="I60:I64" si="5">G60*T60</f>
        <v>7200</v>
      </c>
      <c r="J60" s="32"/>
      <c r="K60" s="32"/>
      <c r="L60" s="32"/>
      <c r="M60" s="32"/>
      <c r="N60" s="32"/>
      <c r="O60" s="32"/>
      <c r="P60" s="51">
        <v>46250</v>
      </c>
      <c r="Q60" s="51"/>
      <c r="R60" s="99"/>
      <c r="S60" s="32"/>
      <c r="T60" s="53">
        <v>0.018</v>
      </c>
      <c r="U60" s="52"/>
      <c r="V60" s="33"/>
      <c r="W60" s="32"/>
      <c r="X60" s="25"/>
      <c r="Y60" s="25"/>
    </row>
    <row r="61" s="12" customFormat="1" ht="22.5" customHeight="1" spans="1:25">
      <c r="A61" s="32" t="s">
        <v>47</v>
      </c>
      <c r="B61" s="32" t="s">
        <v>39</v>
      </c>
      <c r="C61" s="33">
        <v>46230</v>
      </c>
      <c r="D61" s="33">
        <v>46407</v>
      </c>
      <c r="E61" s="35" t="s">
        <v>95</v>
      </c>
      <c r="F61" s="35">
        <v>13860629781</v>
      </c>
      <c r="G61" s="32">
        <v>200000</v>
      </c>
      <c r="H61" s="62"/>
      <c r="I61" s="32">
        <f t="shared" si="5"/>
        <v>3600</v>
      </c>
      <c r="J61" s="32"/>
      <c r="K61" s="32"/>
      <c r="L61" s="32"/>
      <c r="M61" s="32"/>
      <c r="N61" s="32"/>
      <c r="O61" s="32"/>
      <c r="P61" s="51">
        <v>46261</v>
      </c>
      <c r="Q61" s="51"/>
      <c r="R61" s="99"/>
      <c r="S61" s="32"/>
      <c r="T61" s="53">
        <v>0.018</v>
      </c>
      <c r="U61" s="52"/>
      <c r="V61" s="33"/>
      <c r="W61" s="32"/>
      <c r="X61" s="25"/>
      <c r="Y61" s="25"/>
    </row>
    <row r="62" s="12" customFormat="1" ht="22.5" customHeight="1" spans="1:25">
      <c r="A62" s="32" t="s">
        <v>47</v>
      </c>
      <c r="B62" s="32" t="s">
        <v>39</v>
      </c>
      <c r="C62" s="33">
        <v>46234</v>
      </c>
      <c r="D62" s="33">
        <v>46412</v>
      </c>
      <c r="E62" s="35" t="s">
        <v>95</v>
      </c>
      <c r="F62" s="35">
        <v>13860629781</v>
      </c>
      <c r="G62" s="32">
        <v>100000</v>
      </c>
      <c r="H62" s="63"/>
      <c r="I62" s="32">
        <f t="shared" si="5"/>
        <v>1800</v>
      </c>
      <c r="J62" s="32"/>
      <c r="K62" s="32"/>
      <c r="L62" s="32"/>
      <c r="M62" s="32"/>
      <c r="N62" s="32"/>
      <c r="O62" s="32"/>
      <c r="P62" s="51">
        <v>46264</v>
      </c>
      <c r="Q62" s="51"/>
      <c r="R62" s="99"/>
      <c r="S62" s="32"/>
      <c r="T62" s="53">
        <v>0.018</v>
      </c>
      <c r="U62" s="52"/>
      <c r="V62" s="33"/>
      <c r="W62" s="32"/>
      <c r="X62" s="25"/>
      <c r="Y62" s="25"/>
    </row>
    <row r="63" s="12" customFormat="1" ht="22.5" customHeight="1" spans="1:25">
      <c r="A63" s="32" t="s">
        <v>47</v>
      </c>
      <c r="B63" s="32" t="s">
        <v>32</v>
      </c>
      <c r="C63" s="33">
        <v>46223</v>
      </c>
      <c r="D63" s="33">
        <v>46402</v>
      </c>
      <c r="E63" s="35" t="s">
        <v>75</v>
      </c>
      <c r="F63" s="35">
        <v>13705954599</v>
      </c>
      <c r="G63" s="32">
        <v>200000</v>
      </c>
      <c r="H63" s="35">
        <v>3524019239</v>
      </c>
      <c r="I63" s="32">
        <f t="shared" si="5"/>
        <v>5000</v>
      </c>
      <c r="J63" s="32"/>
      <c r="K63" s="32"/>
      <c r="L63" s="32"/>
      <c r="M63" s="32"/>
      <c r="N63" s="32"/>
      <c r="O63" s="32"/>
      <c r="P63" s="51">
        <v>46223</v>
      </c>
      <c r="Q63" s="51"/>
      <c r="R63" s="99"/>
      <c r="S63" s="32"/>
      <c r="T63" s="53">
        <v>0.025</v>
      </c>
      <c r="U63" s="52"/>
      <c r="V63" s="33"/>
      <c r="W63" s="32"/>
      <c r="X63" s="25"/>
      <c r="Y63" s="25"/>
    </row>
    <row r="64" s="12" customFormat="1" ht="22.5" customHeight="1" spans="1:25">
      <c r="A64" s="32" t="s">
        <v>81</v>
      </c>
      <c r="B64" s="32" t="s">
        <v>32</v>
      </c>
      <c r="C64" s="33">
        <v>46226</v>
      </c>
      <c r="D64" s="33">
        <v>46405</v>
      </c>
      <c r="E64" s="35" t="s">
        <v>96</v>
      </c>
      <c r="F64" s="35">
        <v>15695902836</v>
      </c>
      <c r="G64" s="32">
        <v>17000</v>
      </c>
      <c r="H64" s="35">
        <v>3524019242</v>
      </c>
      <c r="I64" s="32">
        <v>425</v>
      </c>
      <c r="J64" s="32">
        <f>G64*T64</f>
        <v>85</v>
      </c>
      <c r="K64" s="32"/>
      <c r="L64" s="32"/>
      <c r="M64" s="32"/>
      <c r="N64" s="32"/>
      <c r="O64" s="32"/>
      <c r="P64" s="51">
        <v>46256</v>
      </c>
      <c r="Q64" s="51">
        <v>46255</v>
      </c>
      <c r="R64" s="99"/>
      <c r="S64" s="32"/>
      <c r="T64" s="53">
        <v>0.005</v>
      </c>
      <c r="U64" s="52"/>
      <c r="V64" s="33"/>
      <c r="W64" s="32"/>
      <c r="X64" s="25"/>
      <c r="Y64" s="25"/>
    </row>
    <row r="65" s="12" customFormat="1" ht="22.5" customHeight="1" spans="1:25">
      <c r="A65" s="32" t="s">
        <v>27</v>
      </c>
      <c r="B65" s="32" t="s">
        <v>32</v>
      </c>
      <c r="C65" s="33">
        <v>46225</v>
      </c>
      <c r="D65" s="33">
        <v>46314</v>
      </c>
      <c r="E65" s="35" t="s">
        <v>97</v>
      </c>
      <c r="F65" s="35">
        <v>13860651148</v>
      </c>
      <c r="G65" s="32">
        <f>60000+140000</f>
        <v>200000</v>
      </c>
      <c r="H65" s="35">
        <v>3524019241</v>
      </c>
      <c r="I65" s="32">
        <f>200000*0.023</f>
        <v>4600</v>
      </c>
      <c r="J65" s="32"/>
      <c r="K65" s="32"/>
      <c r="L65" s="32"/>
      <c r="M65" s="32"/>
      <c r="N65" s="32"/>
      <c r="O65" s="32"/>
      <c r="P65" s="51">
        <v>46295</v>
      </c>
      <c r="Q65" s="51"/>
      <c r="R65" s="99"/>
      <c r="S65" s="32"/>
      <c r="T65" s="53">
        <v>0.023</v>
      </c>
      <c r="U65" s="52"/>
      <c r="V65" s="33"/>
      <c r="W65" s="32"/>
      <c r="X65" s="25"/>
      <c r="Y65" s="25"/>
    </row>
    <row r="66" s="12" customFormat="1" ht="22.5" customHeight="1" spans="1:25">
      <c r="A66" s="32" t="s">
        <v>47</v>
      </c>
      <c r="B66" s="32" t="s">
        <v>32</v>
      </c>
      <c r="C66" s="33">
        <v>46261</v>
      </c>
      <c r="D66" s="33">
        <v>46350</v>
      </c>
      <c r="E66" s="35" t="s">
        <v>98</v>
      </c>
      <c r="F66" s="35">
        <v>17759887551</v>
      </c>
      <c r="G66" s="32">
        <v>120000</v>
      </c>
      <c r="H66" s="35">
        <v>3524019245</v>
      </c>
      <c r="I66" s="32">
        <f>G66*T66</f>
        <v>3000</v>
      </c>
      <c r="J66" s="32"/>
      <c r="K66" s="32"/>
      <c r="L66" s="32"/>
      <c r="M66" s="32"/>
      <c r="N66" s="32"/>
      <c r="O66" s="32"/>
      <c r="P66" s="51">
        <v>46291</v>
      </c>
      <c r="Q66" s="51"/>
      <c r="R66" s="99"/>
      <c r="S66" s="32"/>
      <c r="T66" s="53">
        <v>0.025</v>
      </c>
      <c r="U66" s="52"/>
      <c r="V66" s="33"/>
      <c r="W66" s="32"/>
      <c r="X66" s="25"/>
      <c r="Y66" s="25"/>
    </row>
    <row r="67" s="12" customFormat="1" ht="22.5" customHeight="1" spans="1:25">
      <c r="A67" s="32" t="s">
        <v>81</v>
      </c>
      <c r="B67" s="32" t="s">
        <v>32</v>
      </c>
      <c r="C67" s="33">
        <v>46266</v>
      </c>
      <c r="D67" s="33">
        <v>46445</v>
      </c>
      <c r="E67" s="35" t="s">
        <v>99</v>
      </c>
      <c r="F67" s="35">
        <v>15880077948</v>
      </c>
      <c r="G67" s="32">
        <v>90000</v>
      </c>
      <c r="H67" s="35">
        <v>3524019246</v>
      </c>
      <c r="I67" s="32">
        <v>1350</v>
      </c>
      <c r="J67" s="32">
        <f>G67*T67</f>
        <v>270</v>
      </c>
      <c r="K67" s="32"/>
      <c r="L67" s="32"/>
      <c r="M67" s="32"/>
      <c r="N67" s="32"/>
      <c r="O67" s="32"/>
      <c r="P67" s="51">
        <v>46266</v>
      </c>
      <c r="Q67" s="51">
        <v>46266</v>
      </c>
      <c r="R67" s="99"/>
      <c r="S67" s="32"/>
      <c r="T67" s="53">
        <v>0.003</v>
      </c>
      <c r="U67" s="52"/>
      <c r="V67" s="33"/>
      <c r="W67" s="32"/>
      <c r="X67" s="25"/>
      <c r="Y67" s="25"/>
    </row>
    <row r="68" s="12" customFormat="1" ht="22.5" customHeight="1" spans="1:25">
      <c r="A68" s="32" t="s">
        <v>81</v>
      </c>
      <c r="B68" s="32" t="s">
        <v>32</v>
      </c>
      <c r="C68" s="33">
        <v>46274</v>
      </c>
      <c r="D68" s="33">
        <v>46453</v>
      </c>
      <c r="E68" s="35" t="s">
        <v>100</v>
      </c>
      <c r="F68" s="35">
        <v>15232998080</v>
      </c>
      <c r="G68" s="32">
        <v>85000</v>
      </c>
      <c r="H68" s="35">
        <v>3524019247</v>
      </c>
      <c r="I68" s="32">
        <v>2000</v>
      </c>
      <c r="J68" s="32">
        <f>G68*T68</f>
        <v>255</v>
      </c>
      <c r="K68" s="32"/>
      <c r="L68" s="32"/>
      <c r="M68" s="32"/>
      <c r="N68" s="32"/>
      <c r="O68" s="32"/>
      <c r="P68" s="51">
        <v>46274</v>
      </c>
      <c r="Q68" s="51">
        <v>46274</v>
      </c>
      <c r="R68" s="99"/>
      <c r="S68" s="32"/>
      <c r="T68" s="53">
        <v>0.003</v>
      </c>
      <c r="U68" s="52"/>
      <c r="V68" s="33"/>
      <c r="W68" s="32"/>
      <c r="X68" s="25"/>
      <c r="Y68" s="25"/>
    </row>
    <row r="69" s="12" customFormat="1" ht="22.5" customHeight="1" spans="1:25">
      <c r="A69" s="32" t="s">
        <v>81</v>
      </c>
      <c r="B69" s="32" t="s">
        <v>32</v>
      </c>
      <c r="C69" s="33">
        <v>46275</v>
      </c>
      <c r="D69" s="33">
        <v>46090</v>
      </c>
      <c r="E69" s="35" t="s">
        <v>101</v>
      </c>
      <c r="F69" s="35">
        <v>18859177111</v>
      </c>
      <c r="G69" s="32">
        <v>70000</v>
      </c>
      <c r="H69" s="35">
        <v>3524019249</v>
      </c>
      <c r="I69" s="32">
        <f>G69*0.02</f>
        <v>1400</v>
      </c>
      <c r="J69" s="32">
        <f>G69*T69</f>
        <v>210</v>
      </c>
      <c r="K69" s="32"/>
      <c r="L69" s="32"/>
      <c r="M69" s="32"/>
      <c r="N69" s="32"/>
      <c r="O69" s="32"/>
      <c r="P69" s="51">
        <v>46275</v>
      </c>
      <c r="Q69" s="51">
        <v>46275</v>
      </c>
      <c r="R69" s="99"/>
      <c r="S69" s="32"/>
      <c r="T69" s="53">
        <v>0.003</v>
      </c>
      <c r="U69" s="52"/>
      <c r="V69" s="33"/>
      <c r="W69" s="32"/>
      <c r="X69" s="25"/>
      <c r="Y69" s="25"/>
    </row>
    <row r="70" s="12" customFormat="1" ht="22.5" customHeight="1" spans="1:25">
      <c r="A70" s="32"/>
      <c r="B70" s="32"/>
      <c r="C70" s="33"/>
      <c r="D70" s="33"/>
      <c r="E70" s="35"/>
      <c r="F70" s="35"/>
      <c r="G70" s="32"/>
      <c r="H70" s="35"/>
      <c r="I70" s="32"/>
      <c r="J70" s="32"/>
      <c r="K70" s="32"/>
      <c r="L70" s="32"/>
      <c r="M70" s="32"/>
      <c r="N70" s="32"/>
      <c r="O70" s="32"/>
      <c r="P70" s="51"/>
      <c r="Q70" s="51"/>
      <c r="R70" s="99"/>
      <c r="S70" s="32"/>
      <c r="T70" s="53"/>
      <c r="U70" s="52"/>
      <c r="V70" s="33"/>
      <c r="W70" s="32"/>
      <c r="X70" s="25"/>
      <c r="Y70" s="25"/>
    </row>
    <row r="71" s="12" customFormat="1" ht="22.5" customHeight="1" spans="1:25">
      <c r="A71" s="32"/>
      <c r="B71" s="32"/>
      <c r="C71" s="33"/>
      <c r="D71" s="33"/>
      <c r="E71" s="35"/>
      <c r="F71" s="35"/>
      <c r="G71" s="32"/>
      <c r="H71" s="35"/>
      <c r="I71" s="32"/>
      <c r="J71" s="32"/>
      <c r="K71" s="32"/>
      <c r="L71" s="32"/>
      <c r="M71" s="32"/>
      <c r="N71" s="32"/>
      <c r="O71" s="32"/>
      <c r="P71" s="51"/>
      <c r="Q71" s="51"/>
      <c r="R71" s="99"/>
      <c r="S71" s="32"/>
      <c r="T71" s="53"/>
      <c r="U71" s="52"/>
      <c r="V71" s="33"/>
      <c r="W71" s="32"/>
      <c r="X71" s="25"/>
      <c r="Y71" s="25"/>
    </row>
    <row r="72" s="12" customFormat="1" ht="22.5" customHeight="1" spans="1:25">
      <c r="A72" s="32"/>
      <c r="B72" s="32"/>
      <c r="C72" s="33"/>
      <c r="D72" s="33"/>
      <c r="E72" s="35"/>
      <c r="F72" s="35"/>
      <c r="G72" s="32"/>
      <c r="H72" s="35"/>
      <c r="I72" s="32"/>
      <c r="J72" s="32"/>
      <c r="K72" s="32"/>
      <c r="L72" s="32"/>
      <c r="M72" s="32"/>
      <c r="N72" s="32"/>
      <c r="O72" s="32"/>
      <c r="P72" s="51"/>
      <c r="Q72" s="51"/>
      <c r="R72" s="99"/>
      <c r="S72" s="32"/>
      <c r="T72" s="53"/>
      <c r="U72" s="52"/>
      <c r="V72" s="33"/>
      <c r="W72" s="32"/>
      <c r="X72" s="25"/>
      <c r="Y72" s="25"/>
    </row>
    <row r="73" s="12" customFormat="1" ht="22.5" customHeight="1" spans="1:25">
      <c r="A73" s="32"/>
      <c r="B73" s="32"/>
      <c r="C73" s="33"/>
      <c r="D73" s="33"/>
      <c r="E73" s="35"/>
      <c r="F73" s="35"/>
      <c r="G73" s="32"/>
      <c r="H73" s="35"/>
      <c r="I73" s="32"/>
      <c r="J73" s="32"/>
      <c r="K73" s="32"/>
      <c r="L73" s="32"/>
      <c r="M73" s="32"/>
      <c r="N73" s="32"/>
      <c r="O73" s="32"/>
      <c r="P73" s="51"/>
      <c r="Q73" s="51"/>
      <c r="R73" s="99"/>
      <c r="S73" s="32"/>
      <c r="T73" s="53"/>
      <c r="U73" s="52"/>
      <c r="V73" s="33"/>
      <c r="W73" s="32"/>
      <c r="X73" s="25"/>
      <c r="Y73" s="25"/>
    </row>
    <row r="74" s="12" customFormat="1" ht="22.5" customHeight="1" spans="1:25">
      <c r="A74" s="32"/>
      <c r="B74" s="32"/>
      <c r="C74" s="33"/>
      <c r="D74" s="33"/>
      <c r="E74" s="35"/>
      <c r="F74" s="35"/>
      <c r="G74" s="32"/>
      <c r="H74" s="35"/>
      <c r="I74" s="32"/>
      <c r="J74" s="32"/>
      <c r="K74" s="32"/>
      <c r="L74" s="32"/>
      <c r="M74" s="32"/>
      <c r="N74" s="32"/>
      <c r="O74" s="32"/>
      <c r="P74" s="51"/>
      <c r="Q74" s="51"/>
      <c r="R74" s="99"/>
      <c r="S74" s="32"/>
      <c r="T74" s="53"/>
      <c r="U74" s="52"/>
      <c r="V74" s="33"/>
      <c r="W74" s="32"/>
      <c r="X74" s="25"/>
      <c r="Y74" s="25"/>
    </row>
    <row r="75" s="12" customFormat="1" ht="22.5" customHeight="1" spans="1:25">
      <c r="A75" s="32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32"/>
      <c r="N75" s="25"/>
      <c r="O75" s="25"/>
      <c r="P75" s="25"/>
      <c r="Q75" s="25"/>
      <c r="R75" s="25"/>
      <c r="S75" s="32">
        <f>G75*$S$1*R75-N75</f>
        <v>0</v>
      </c>
      <c r="T75" s="25"/>
      <c r="U75" s="25"/>
      <c r="V75" s="25"/>
      <c r="W75" s="25"/>
      <c r="X75" s="25"/>
      <c r="Y75" s="25"/>
    </row>
    <row r="76" s="83" customFormat="1" ht="22.5" customHeight="1" spans="1:25">
      <c r="A76" s="100"/>
      <c r="B76" s="100"/>
      <c r="C76" s="101"/>
      <c r="D76" s="101"/>
      <c r="E76" s="100"/>
      <c r="F76" s="100" t="s">
        <v>102</v>
      </c>
      <c r="G76" s="100">
        <f>SUM(G3:G75)</f>
        <v>11879250.01</v>
      </c>
      <c r="H76" s="100" t="s">
        <v>16</v>
      </c>
      <c r="I76" s="100">
        <f>SUM(I3:I75)</f>
        <v>226628.5</v>
      </c>
      <c r="J76" s="100">
        <f>SUM(J3:J75)</f>
        <v>3156</v>
      </c>
      <c r="K76" s="100"/>
      <c r="L76" s="100">
        <f t="shared" ref="L76:O76" si="6">SUM(L3:L75)</f>
        <v>0</v>
      </c>
      <c r="M76" s="100">
        <f t="shared" si="6"/>
        <v>0</v>
      </c>
      <c r="N76" s="100"/>
      <c r="O76" s="100">
        <f t="shared" si="6"/>
        <v>0</v>
      </c>
      <c r="P76" s="101"/>
      <c r="Q76" s="101"/>
      <c r="R76" s="102"/>
      <c r="S76" s="100">
        <f>SUM(S3:S75)</f>
        <v>0</v>
      </c>
      <c r="T76" s="103"/>
      <c r="U76" s="100">
        <f>SUM(U3:U75)</f>
        <v>60275</v>
      </c>
      <c r="V76" s="101"/>
      <c r="W76" s="100"/>
      <c r="X76" s="104"/>
      <c r="Y76" s="105"/>
    </row>
    <row r="77" s="12" customFormat="1" ht="22.5" customHeight="1" spans="1:25">
      <c r="A77" s="106"/>
      <c r="B77" s="106"/>
      <c r="C77" s="107"/>
      <c r="D77" s="107"/>
      <c r="E77" s="106"/>
      <c r="F77" s="106"/>
      <c r="G77" s="106"/>
      <c r="H77" s="106"/>
      <c r="I77" s="106"/>
      <c r="J77" s="106"/>
      <c r="K77" s="106"/>
      <c r="L77" s="106"/>
      <c r="M77" s="106"/>
      <c r="N77" s="106"/>
      <c r="O77" s="106"/>
      <c r="P77" s="107"/>
      <c r="Q77" s="107"/>
      <c r="R77" s="106"/>
      <c r="S77" s="106"/>
      <c r="T77" s="106"/>
      <c r="U77" s="106"/>
      <c r="V77" s="107"/>
      <c r="W77" s="106"/>
    </row>
    <row r="78" s="12" customFormat="1" ht="22.5" customHeight="1" spans="1:25">
      <c r="A78" s="58"/>
      <c r="B78" s="58"/>
      <c r="C78" s="108"/>
      <c r="D78" s="108"/>
      <c r="E78" s="58"/>
      <c r="F78" s="109"/>
      <c r="G78" s="58"/>
      <c r="H78" s="58"/>
      <c r="I78" s="58"/>
      <c r="J78" s="58"/>
      <c r="K78" s="58"/>
      <c r="L78" s="58"/>
      <c r="M78" s="58"/>
      <c r="N78" s="58"/>
      <c r="O78" s="58"/>
      <c r="P78" s="108"/>
      <c r="Q78" s="108"/>
      <c r="R78" s="58"/>
      <c r="S78" s="58"/>
      <c r="T78" s="58"/>
      <c r="U78" s="58"/>
      <c r="V78" s="108"/>
      <c r="W78" s="58"/>
    </row>
    <row r="79" s="12" customFormat="1" ht="22.5" customHeight="1" spans="1:25">
      <c r="A79" s="58"/>
      <c r="B79" s="58"/>
      <c r="C79" s="108"/>
      <c r="D79" s="108"/>
      <c r="E79" s="58"/>
      <c r="F79" s="58"/>
      <c r="G79" s="58"/>
      <c r="H79" s="58"/>
      <c r="I79" s="58"/>
      <c r="J79" s="58"/>
      <c r="K79" s="58"/>
      <c r="L79" s="58"/>
      <c r="M79" s="58"/>
      <c r="N79" s="58"/>
      <c r="O79" s="58"/>
      <c r="P79" s="108"/>
      <c r="Q79" s="108"/>
      <c r="R79" s="58"/>
      <c r="S79" s="58"/>
      <c r="T79" s="58"/>
      <c r="U79" s="58"/>
      <c r="V79" s="108"/>
      <c r="W79" s="58"/>
    </row>
    <row r="80" s="12" customFormat="1" ht="22.5" customHeight="1" spans="1:25">
      <c r="A80" s="106"/>
      <c r="B80" s="106"/>
      <c r="C80" s="107"/>
      <c r="D80" s="107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7"/>
      <c r="Q80" s="107"/>
      <c r="R80" s="106"/>
      <c r="S80" s="106"/>
      <c r="T80" s="106"/>
      <c r="U80" s="106"/>
      <c r="V80" s="107"/>
      <c r="W80" s="106"/>
    </row>
    <row r="81" s="12" customFormat="1" ht="22.5" customHeight="1" spans="1:23">
      <c r="A81" s="106"/>
      <c r="B81" s="106"/>
      <c r="C81" s="107"/>
      <c r="D81" s="107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10"/>
      <c r="Q81" s="107"/>
      <c r="R81" s="106"/>
      <c r="S81" s="106"/>
      <c r="T81" s="106"/>
      <c r="U81" s="106"/>
      <c r="V81" s="107"/>
      <c r="W81" s="106"/>
    </row>
    <row r="82" s="12" customFormat="1" ht="22.5" customHeight="1" spans="1:23">
      <c r="A82" s="106"/>
      <c r="B82" s="106"/>
      <c r="C82" s="107"/>
      <c r="D82" s="107"/>
      <c r="E82" s="106"/>
      <c r="F82" s="106"/>
      <c r="G82" s="106"/>
      <c r="H82" s="106"/>
      <c r="I82" s="106"/>
      <c r="J82" s="106"/>
      <c r="K82" s="106"/>
      <c r="L82" s="111"/>
      <c r="M82" s="106"/>
      <c r="N82" s="106"/>
      <c r="O82" s="106"/>
      <c r="P82" s="107"/>
      <c r="Q82" s="107"/>
      <c r="R82" s="106"/>
      <c r="S82" s="106"/>
      <c r="T82" s="106"/>
      <c r="U82" s="106"/>
      <c r="V82" s="107"/>
      <c r="W82" s="106"/>
    </row>
    <row r="83" s="12" customFormat="1" ht="22.5" customHeight="1" spans="1:23">
      <c r="A83" s="58"/>
      <c r="B83" s="58"/>
      <c r="C83" s="108"/>
      <c r="D83" s="108"/>
      <c r="E83" s="58"/>
      <c r="F83" s="58"/>
      <c r="G83" s="58"/>
      <c r="H83" s="58"/>
      <c r="I83" s="58"/>
      <c r="J83" s="58"/>
      <c r="K83" s="58"/>
      <c r="L83" s="112"/>
      <c r="M83" s="58"/>
      <c r="N83" s="58"/>
      <c r="O83" s="58"/>
      <c r="P83" s="108"/>
      <c r="Q83" s="108"/>
      <c r="R83" s="58"/>
      <c r="S83" s="58"/>
      <c r="T83" s="58"/>
      <c r="U83" s="58"/>
      <c r="V83" s="108"/>
      <c r="W83" s="58"/>
    </row>
    <row r="84" s="12" customFormat="1" spans="1:23">
      <c r="C84" s="84"/>
      <c r="D84" s="84"/>
      <c r="L84" s="113"/>
      <c r="P84" s="84"/>
      <c r="Q84" s="84"/>
      <c r="V84" s="84"/>
    </row>
    <row r="85" s="12" customFormat="1" spans="1:23">
      <c r="C85" s="84"/>
      <c r="D85" s="84"/>
      <c r="L85" s="113"/>
      <c r="P85" s="84"/>
      <c r="Q85" s="84"/>
      <c r="V85" s="84"/>
    </row>
  </sheetData>
  <autoFilter xmlns:etc="http://www.wps.cn/officeDocument/2017/etCustomData" ref="A2:XFC69" etc:filterBottomFollowUsedRange="0">
    <extLst/>
  </autoFilter>
  <mergeCells count="2">
    <mergeCell ref="A1:O1"/>
    <mergeCell ref="H60:H62"/>
  </mergeCells>
  <hyperlinks>
    <hyperlink ref="H29" r:id="rId3" display="3519252755" tooltip="https://ddt2.soudang.com/ddt/business/pawn/javascript:showBillDetail('DD353561729760879068');"/>
  </hyperlinks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U203"/>
  <sheetViews>
    <sheetView workbookViewId="0">
      <pane ySplit="2" topLeftCell="A159" activePane="bottomLeft" state="frozen"/>
      <selection/>
      <selection pane="bottomLeft" activeCell="A2" sqref="$A2:$XFD2"/>
    </sheetView>
  </sheetViews>
  <sheetFormatPr defaultColWidth="9" defaultRowHeight="12"/>
  <cols>
    <col min="1" max="1" width="2.5" style="15" customWidth="1"/>
    <col min="2" max="2" width="4" style="15" customWidth="1"/>
    <col min="3" max="3" width="11.125" style="15" customWidth="1"/>
    <col min="4" max="4" width="12.375" style="15" customWidth="1"/>
    <col min="5" max="5" width="10.625" style="15" customWidth="1"/>
    <col min="6" max="7" width="12.625" style="16" customWidth="1"/>
    <col min="8" max="8" width="12.6333333333333" style="16" customWidth="1"/>
    <col min="9" max="9" width="12.2166666666667" style="15" customWidth="1"/>
    <col min="10" max="10" width="11.125" style="15" customWidth="1"/>
    <col min="11" max="11" width="9.25" style="15" customWidth="1"/>
    <col min="12" max="12" width="13.75" style="15" customWidth="1"/>
    <col min="13" max="13" width="10.5" style="15" customWidth="1"/>
    <col min="14" max="14" width="7.25" style="15" customWidth="1"/>
    <col min="15" max="15" width="34.25" style="15" customWidth="1"/>
    <col min="16" max="16" width="9.125" style="15" customWidth="1"/>
    <col min="17" max="17" width="7.25" style="15" customWidth="1"/>
    <col min="18" max="18" width="14.175" style="16" customWidth="1"/>
    <col min="19" max="20" width="11.525" style="15" customWidth="1"/>
    <col min="21" max="21" width="10.8333333333333" style="15" customWidth="1"/>
    <col min="22" max="16384" width="9" style="15"/>
  </cols>
  <sheetData>
    <row r="1" ht="27" customHeight="1" spans="2:21">
      <c r="D1" s="17" t="s">
        <v>103</v>
      </c>
      <c r="E1" s="17"/>
      <c r="F1" s="18"/>
      <c r="G1" s="18"/>
      <c r="H1" s="19"/>
      <c r="I1" s="17"/>
      <c r="J1" s="17"/>
      <c r="K1" s="17"/>
      <c r="L1" s="17"/>
      <c r="M1" s="17"/>
      <c r="N1" s="17"/>
      <c r="O1" s="20"/>
      <c r="P1" s="17"/>
      <c r="Q1" s="17"/>
      <c r="R1" s="19" t="s">
        <v>1</v>
      </c>
      <c r="S1" s="21"/>
      <c r="T1" s="22"/>
      <c r="U1" s="23"/>
    </row>
    <row r="2" s="12" customFormat="1" ht="38" customHeight="1" spans="2:21">
      <c r="B2" s="24" t="s">
        <v>104</v>
      </c>
      <c r="C2" s="25" t="s">
        <v>105</v>
      </c>
      <c r="D2" s="26" t="s">
        <v>106</v>
      </c>
      <c r="E2" s="26" t="s">
        <v>3</v>
      </c>
      <c r="F2" s="27" t="s">
        <v>4</v>
      </c>
      <c r="G2" s="27" t="s">
        <v>5</v>
      </c>
      <c r="H2" s="27" t="s">
        <v>23</v>
      </c>
      <c r="I2" s="26" t="s">
        <v>6</v>
      </c>
      <c r="J2" s="26" t="s">
        <v>8</v>
      </c>
      <c r="K2" s="26" t="s">
        <v>107</v>
      </c>
      <c r="L2" s="26" t="s">
        <v>9</v>
      </c>
      <c r="M2" s="26" t="s">
        <v>10</v>
      </c>
      <c r="N2" s="26" t="s">
        <v>11</v>
      </c>
      <c r="O2" s="28" t="s">
        <v>108</v>
      </c>
      <c r="P2" s="26" t="s">
        <v>109</v>
      </c>
      <c r="Q2" s="26" t="s">
        <v>15</v>
      </c>
      <c r="R2" s="27" t="s">
        <v>17</v>
      </c>
      <c r="S2" s="29" t="s">
        <v>21</v>
      </c>
      <c r="T2" s="26" t="s">
        <v>22</v>
      </c>
      <c r="U2" s="26" t="s">
        <v>24</v>
      </c>
    </row>
    <row r="3" ht="16.5" spans="2:21">
      <c r="B3" s="30">
        <f t="shared" ref="B3:B66" si="0">ROW()-2</f>
        <v>1</v>
      </c>
      <c r="C3" s="30" t="s">
        <v>110</v>
      </c>
      <c r="D3" s="31" t="s">
        <v>111</v>
      </c>
      <c r="E3" s="32" t="s">
        <v>32</v>
      </c>
      <c r="F3" s="33"/>
      <c r="G3" s="34"/>
      <c r="H3" s="34">
        <v>46165</v>
      </c>
      <c r="I3" s="35" t="s">
        <v>112</v>
      </c>
      <c r="J3" s="36">
        <v>5000</v>
      </c>
      <c r="K3" s="37"/>
      <c r="L3" s="35"/>
      <c r="M3" s="32">
        <v>200</v>
      </c>
      <c r="N3" s="32"/>
      <c r="O3" s="38"/>
      <c r="P3" s="32">
        <v>22</v>
      </c>
      <c r="Q3" s="32"/>
      <c r="R3" s="34">
        <v>46287</v>
      </c>
      <c r="S3" s="39"/>
      <c r="T3" s="32"/>
      <c r="U3" s="32"/>
    </row>
    <row r="4" ht="16.5" spans="2:21">
      <c r="B4" s="30">
        <f t="shared" si="0"/>
        <v>2</v>
      </c>
      <c r="C4" s="30" t="s">
        <v>110</v>
      </c>
      <c r="D4" s="31" t="s">
        <v>81</v>
      </c>
      <c r="E4" s="32" t="s">
        <v>32</v>
      </c>
      <c r="F4" s="33"/>
      <c r="G4" s="34">
        <v>45670</v>
      </c>
      <c r="H4" s="34">
        <v>46006</v>
      </c>
      <c r="I4" s="35" t="s">
        <v>113</v>
      </c>
      <c r="J4" s="36">
        <v>6000</v>
      </c>
      <c r="K4" s="37"/>
      <c r="L4" s="35"/>
      <c r="M4" s="32">
        <v>150</v>
      </c>
      <c r="N4" s="32"/>
      <c r="O4" s="38"/>
      <c r="P4" s="32">
        <v>15</v>
      </c>
      <c r="Q4" s="32"/>
      <c r="R4" s="34">
        <v>46280</v>
      </c>
      <c r="S4" s="39"/>
      <c r="T4" s="32"/>
      <c r="U4" s="32"/>
    </row>
    <row r="5" ht="16.5" spans="2:21">
      <c r="B5" s="30">
        <f t="shared" si="0"/>
        <v>3</v>
      </c>
      <c r="C5" s="30" t="s">
        <v>110</v>
      </c>
      <c r="D5" s="31" t="s">
        <v>81</v>
      </c>
      <c r="E5" s="32" t="s">
        <v>32</v>
      </c>
      <c r="F5" s="33"/>
      <c r="G5" s="34"/>
      <c r="H5" s="34">
        <v>46121</v>
      </c>
      <c r="I5" s="35" t="s">
        <v>113</v>
      </c>
      <c r="J5" s="36">
        <v>20000</v>
      </c>
      <c r="K5" s="37"/>
      <c r="L5" s="35"/>
      <c r="M5" s="32">
        <v>500</v>
      </c>
      <c r="N5" s="32"/>
      <c r="O5" s="38"/>
      <c r="P5" s="32">
        <v>9</v>
      </c>
      <c r="Q5" s="32"/>
      <c r="R5" s="34">
        <v>46274</v>
      </c>
      <c r="S5" s="39"/>
      <c r="T5" s="32"/>
      <c r="U5" s="32"/>
    </row>
    <row r="6" ht="16.5" spans="2:21">
      <c r="B6" s="30">
        <f t="shared" si="0"/>
        <v>4</v>
      </c>
      <c r="C6" s="30" t="s">
        <v>110</v>
      </c>
      <c r="D6" s="31" t="s">
        <v>81</v>
      </c>
      <c r="E6" s="32" t="s">
        <v>32</v>
      </c>
      <c r="F6" s="33"/>
      <c r="G6" s="34"/>
      <c r="H6" s="34">
        <v>46173</v>
      </c>
      <c r="I6" s="35" t="s">
        <v>113</v>
      </c>
      <c r="J6" s="36">
        <v>3000</v>
      </c>
      <c r="K6" s="37"/>
      <c r="L6" s="35"/>
      <c r="M6" s="32">
        <v>100</v>
      </c>
      <c r="N6" s="32"/>
      <c r="O6" s="38"/>
      <c r="P6" s="32">
        <v>30</v>
      </c>
      <c r="Q6" s="32"/>
      <c r="R6" s="34">
        <v>46295</v>
      </c>
      <c r="S6" s="39"/>
      <c r="T6" s="32"/>
      <c r="U6" s="32"/>
    </row>
    <row r="7" ht="16.5" spans="2:21">
      <c r="B7" s="30">
        <f t="shared" si="0"/>
        <v>5</v>
      </c>
      <c r="C7" s="30" t="s">
        <v>114</v>
      </c>
      <c r="D7" s="32" t="s">
        <v>81</v>
      </c>
      <c r="E7" s="32" t="s">
        <v>32</v>
      </c>
      <c r="F7" s="33">
        <v>46274</v>
      </c>
      <c r="G7" s="33">
        <v>46453</v>
      </c>
      <c r="H7" s="33"/>
      <c r="I7" s="35" t="s">
        <v>100</v>
      </c>
      <c r="J7" s="32">
        <v>85000</v>
      </c>
      <c r="K7" s="36"/>
      <c r="L7" s="35">
        <v>3524019247</v>
      </c>
      <c r="M7" s="32">
        <v>2000</v>
      </c>
      <c r="N7" s="32">
        <f>J7*S7</f>
        <v>255</v>
      </c>
      <c r="O7" s="38"/>
      <c r="P7" s="32">
        <v>9</v>
      </c>
      <c r="Q7" s="32"/>
      <c r="R7" s="33">
        <v>46274</v>
      </c>
      <c r="S7" s="39">
        <v>0.003</v>
      </c>
      <c r="T7" s="32"/>
      <c r="U7" s="32"/>
    </row>
    <row r="8" ht="16.5" spans="2:21">
      <c r="B8" s="30">
        <f t="shared" si="0"/>
        <v>6</v>
      </c>
      <c r="C8" s="30" t="s">
        <v>110</v>
      </c>
      <c r="D8" s="31" t="s">
        <v>81</v>
      </c>
      <c r="E8" s="32" t="s">
        <v>32</v>
      </c>
      <c r="F8" s="33"/>
      <c r="G8" s="34">
        <v>46178</v>
      </c>
      <c r="H8" s="34">
        <v>46149</v>
      </c>
      <c r="I8" s="35" t="s">
        <v>115</v>
      </c>
      <c r="J8" s="36">
        <v>3000</v>
      </c>
      <c r="K8" s="37"/>
      <c r="L8" s="35"/>
      <c r="M8" s="32">
        <v>100</v>
      </c>
      <c r="N8" s="32"/>
      <c r="O8" s="38"/>
      <c r="P8" s="32">
        <v>6</v>
      </c>
      <c r="Q8" s="32"/>
      <c r="R8" s="34">
        <v>46271</v>
      </c>
      <c r="S8" s="39"/>
      <c r="T8" s="32"/>
      <c r="U8" s="32"/>
    </row>
    <row r="9" s="13" customFormat="1" ht="16.5" spans="2:21">
      <c r="B9" s="40">
        <f t="shared" si="0"/>
        <v>7</v>
      </c>
      <c r="C9" s="40" t="s">
        <v>110</v>
      </c>
      <c r="D9" s="41" t="s">
        <v>81</v>
      </c>
      <c r="E9" s="42" t="s">
        <v>116</v>
      </c>
      <c r="F9" s="43"/>
      <c r="G9" s="44">
        <v>46118</v>
      </c>
      <c r="H9" s="44">
        <v>46088</v>
      </c>
      <c r="I9" s="45" t="s">
        <v>117</v>
      </c>
      <c r="J9" s="46">
        <v>0</v>
      </c>
      <c r="K9" s="47"/>
      <c r="L9" s="45"/>
      <c r="M9" s="42">
        <v>800</v>
      </c>
      <c r="N9" s="42"/>
      <c r="O9" s="48"/>
      <c r="P9" s="42"/>
      <c r="Q9" s="42"/>
      <c r="R9" s="44">
        <v>46271</v>
      </c>
      <c r="S9" s="49"/>
      <c r="T9" s="42"/>
      <c r="U9" s="42"/>
    </row>
    <row r="10" ht="16.5" spans="2:21">
      <c r="B10" s="30">
        <f t="shared" si="0"/>
        <v>8</v>
      </c>
      <c r="C10" s="30" t="s">
        <v>110</v>
      </c>
      <c r="D10" s="31" t="s">
        <v>81</v>
      </c>
      <c r="E10" s="32" t="s">
        <v>32</v>
      </c>
      <c r="F10" s="33"/>
      <c r="G10" s="34">
        <v>45666</v>
      </c>
      <c r="H10" s="34">
        <v>46002</v>
      </c>
      <c r="I10" s="35" t="s">
        <v>118</v>
      </c>
      <c r="J10" s="36">
        <v>18000</v>
      </c>
      <c r="K10" s="37"/>
      <c r="L10" s="35"/>
      <c r="M10" s="32">
        <v>450</v>
      </c>
      <c r="N10" s="32"/>
      <c r="O10" s="38"/>
      <c r="P10" s="32">
        <v>10</v>
      </c>
      <c r="Q10" s="32"/>
      <c r="R10" s="34">
        <v>46275</v>
      </c>
      <c r="S10" s="39"/>
      <c r="T10" s="32"/>
      <c r="U10" s="32"/>
    </row>
    <row r="11" ht="16.5" spans="2:21">
      <c r="B11" s="30">
        <f t="shared" si="0"/>
        <v>9</v>
      </c>
      <c r="C11" s="30" t="s">
        <v>110</v>
      </c>
      <c r="D11" s="31" t="s">
        <v>81</v>
      </c>
      <c r="E11" s="32" t="s">
        <v>32</v>
      </c>
      <c r="F11" s="33"/>
      <c r="G11" s="34"/>
      <c r="H11" s="34">
        <v>46059</v>
      </c>
      <c r="I11" s="35" t="s">
        <v>119</v>
      </c>
      <c r="J11" s="36">
        <v>40000</v>
      </c>
      <c r="K11" s="37"/>
      <c r="L11" s="35"/>
      <c r="M11" s="32">
        <v>1000</v>
      </c>
      <c r="N11" s="32"/>
      <c r="O11" s="38"/>
      <c r="P11" s="32">
        <v>5</v>
      </c>
      <c r="Q11" s="32"/>
      <c r="R11" s="34">
        <v>46270</v>
      </c>
      <c r="S11" s="39"/>
      <c r="T11" s="32"/>
      <c r="U11" s="32"/>
    </row>
    <row r="12" ht="16.5" spans="2:21">
      <c r="B12" s="30">
        <f t="shared" si="0"/>
        <v>10</v>
      </c>
      <c r="C12" s="30" t="s">
        <v>110</v>
      </c>
      <c r="D12" s="31" t="s">
        <v>81</v>
      </c>
      <c r="E12" s="32" t="s">
        <v>32</v>
      </c>
      <c r="F12" s="33"/>
      <c r="G12" s="34"/>
      <c r="H12" s="34">
        <v>46097</v>
      </c>
      <c r="I12" s="35" t="s">
        <v>119</v>
      </c>
      <c r="J12" s="36">
        <v>20000</v>
      </c>
      <c r="K12" s="37"/>
      <c r="L12" s="35"/>
      <c r="M12" s="32">
        <v>500</v>
      </c>
      <c r="N12" s="32"/>
      <c r="O12" s="38"/>
      <c r="P12" s="32">
        <v>15</v>
      </c>
      <c r="Q12" s="32"/>
      <c r="R12" s="34">
        <v>46280</v>
      </c>
      <c r="S12" s="39"/>
      <c r="T12" s="32"/>
      <c r="U12" s="32"/>
    </row>
    <row r="13" ht="16.5" spans="2:21">
      <c r="B13" s="30">
        <f t="shared" si="0"/>
        <v>11</v>
      </c>
      <c r="C13" s="30" t="s">
        <v>110</v>
      </c>
      <c r="D13" s="31" t="s">
        <v>120</v>
      </c>
      <c r="E13" s="32" t="s">
        <v>32</v>
      </c>
      <c r="F13" s="33"/>
      <c r="G13" s="34">
        <v>46135</v>
      </c>
      <c r="H13" s="34">
        <v>46105</v>
      </c>
      <c r="I13" s="35" t="s">
        <v>119</v>
      </c>
      <c r="J13" s="36">
        <v>16000</v>
      </c>
      <c r="K13" s="37"/>
      <c r="L13" s="35"/>
      <c r="M13" s="32">
        <v>400</v>
      </c>
      <c r="N13" s="32"/>
      <c r="O13" s="38"/>
      <c r="P13" s="32">
        <v>23</v>
      </c>
      <c r="Q13" s="32"/>
      <c r="R13" s="34">
        <v>46288</v>
      </c>
      <c r="S13" s="39"/>
      <c r="T13" s="32"/>
      <c r="U13" s="32"/>
    </row>
    <row r="14" ht="16.5" spans="2:21">
      <c r="B14" s="30">
        <f t="shared" si="0"/>
        <v>12</v>
      </c>
      <c r="C14" s="30" t="s">
        <v>110</v>
      </c>
      <c r="D14" s="31" t="s">
        <v>120</v>
      </c>
      <c r="E14" s="32" t="s">
        <v>32</v>
      </c>
      <c r="F14" s="33"/>
      <c r="G14" s="34"/>
      <c r="H14" s="34">
        <v>46209</v>
      </c>
      <c r="I14" s="35" t="s">
        <v>119</v>
      </c>
      <c r="J14" s="36">
        <v>3600</v>
      </c>
      <c r="K14" s="37"/>
      <c r="L14" s="35"/>
      <c r="M14" s="32">
        <v>200</v>
      </c>
      <c r="N14" s="32"/>
      <c r="O14" s="38"/>
      <c r="P14" s="32">
        <v>6</v>
      </c>
      <c r="Q14" s="32"/>
      <c r="R14" s="34">
        <v>46271</v>
      </c>
      <c r="S14" s="39"/>
      <c r="T14" s="32"/>
      <c r="U14" s="32"/>
    </row>
    <row r="15" ht="16.5" spans="2:21">
      <c r="B15" s="30">
        <f t="shared" si="0"/>
        <v>13</v>
      </c>
      <c r="C15" s="30" t="s">
        <v>110</v>
      </c>
      <c r="D15" s="31" t="s">
        <v>81</v>
      </c>
      <c r="E15" s="32" t="s">
        <v>32</v>
      </c>
      <c r="F15" s="33"/>
      <c r="G15" s="34"/>
      <c r="H15" s="34">
        <v>45594</v>
      </c>
      <c r="I15" s="35" t="s">
        <v>121</v>
      </c>
      <c r="J15" s="36">
        <v>1500</v>
      </c>
      <c r="K15" s="37"/>
      <c r="L15" s="35"/>
      <c r="M15" s="32">
        <v>70</v>
      </c>
      <c r="N15" s="32"/>
      <c r="O15" s="38"/>
      <c r="P15" s="32">
        <v>28</v>
      </c>
      <c r="Q15" s="32"/>
      <c r="R15" s="34">
        <v>46293</v>
      </c>
      <c r="S15" s="39"/>
      <c r="T15" s="32"/>
      <c r="U15" s="32"/>
    </row>
    <row r="16" ht="16.5" spans="2:21">
      <c r="B16" s="30">
        <f t="shared" si="0"/>
        <v>14</v>
      </c>
      <c r="C16" s="30" t="s">
        <v>114</v>
      </c>
      <c r="D16" s="32" t="s">
        <v>47</v>
      </c>
      <c r="E16" s="32" t="s">
        <v>32</v>
      </c>
      <c r="F16" s="33">
        <v>46173</v>
      </c>
      <c r="G16" s="33">
        <v>46202</v>
      </c>
      <c r="H16" s="33"/>
      <c r="I16" s="35" t="s">
        <v>89</v>
      </c>
      <c r="J16" s="32">
        <v>200000</v>
      </c>
      <c r="K16" s="36"/>
      <c r="L16" s="35">
        <v>3524019230</v>
      </c>
      <c r="M16" s="32">
        <f>J16*S16</f>
        <v>5000</v>
      </c>
      <c r="N16" s="32"/>
      <c r="O16" s="38"/>
      <c r="P16" s="32">
        <v>1</v>
      </c>
      <c r="Q16" s="32"/>
      <c r="R16" s="33">
        <v>46266</v>
      </c>
      <c r="S16" s="39">
        <v>0.025</v>
      </c>
      <c r="T16" s="32"/>
      <c r="U16" s="32"/>
    </row>
    <row r="17" ht="16.5" spans="2:21">
      <c r="B17" s="30">
        <f t="shared" si="0"/>
        <v>15</v>
      </c>
      <c r="C17" s="30" t="s">
        <v>114</v>
      </c>
      <c r="D17" s="32" t="s">
        <v>47</v>
      </c>
      <c r="E17" s="32" t="s">
        <v>32</v>
      </c>
      <c r="F17" s="33">
        <v>45457</v>
      </c>
      <c r="G17" s="33">
        <v>45636</v>
      </c>
      <c r="H17" s="33">
        <v>45460</v>
      </c>
      <c r="I17" s="35" t="s">
        <v>57</v>
      </c>
      <c r="J17" s="32">
        <v>1000000</v>
      </c>
      <c r="K17" s="36"/>
      <c r="L17" s="32">
        <v>3519228949</v>
      </c>
      <c r="M17" s="32">
        <v>18000</v>
      </c>
      <c r="N17" s="32"/>
      <c r="O17" s="38"/>
      <c r="P17" s="32">
        <v>12</v>
      </c>
      <c r="Q17" s="32"/>
      <c r="R17" s="33">
        <v>46124</v>
      </c>
      <c r="S17" s="39">
        <v>0.018</v>
      </c>
      <c r="T17" s="32"/>
      <c r="U17" s="32" t="s">
        <v>30</v>
      </c>
    </row>
    <row r="18" ht="16.5" spans="2:21">
      <c r="B18" s="30">
        <f t="shared" si="0"/>
        <v>16</v>
      </c>
      <c r="C18" s="30" t="s">
        <v>110</v>
      </c>
      <c r="D18" s="31" t="s">
        <v>86</v>
      </c>
      <c r="E18" s="3" t="s">
        <v>122</v>
      </c>
      <c r="F18" s="33"/>
      <c r="G18" s="34"/>
      <c r="H18" s="34">
        <v>45584</v>
      </c>
      <c r="I18" s="35" t="s">
        <v>123</v>
      </c>
      <c r="J18" s="36">
        <v>100000</v>
      </c>
      <c r="K18" s="37"/>
      <c r="L18" s="35"/>
      <c r="M18" s="32">
        <v>2850</v>
      </c>
      <c r="N18" s="32"/>
      <c r="O18" s="38"/>
      <c r="P18" s="32">
        <v>19</v>
      </c>
      <c r="Q18" s="32"/>
      <c r="R18" s="50">
        <v>46161</v>
      </c>
      <c r="S18" s="39"/>
      <c r="T18" s="32"/>
      <c r="U18" s="32"/>
    </row>
    <row r="19" ht="16.5" spans="2:21">
      <c r="B19" s="30">
        <f t="shared" si="0"/>
        <v>17</v>
      </c>
      <c r="C19" s="30" t="s">
        <v>114</v>
      </c>
      <c r="D19" s="32" t="s">
        <v>58</v>
      </c>
      <c r="E19" s="32" t="s">
        <v>59</v>
      </c>
      <c r="F19" s="33">
        <v>45484</v>
      </c>
      <c r="G19" s="33">
        <v>45663</v>
      </c>
      <c r="H19" s="33">
        <v>45484</v>
      </c>
      <c r="I19" s="35" t="s">
        <v>60</v>
      </c>
      <c r="J19" s="32">
        <v>500000</v>
      </c>
      <c r="K19" s="32"/>
      <c r="L19" s="32">
        <v>3519237782</v>
      </c>
      <c r="M19" s="32"/>
      <c r="N19" s="32"/>
      <c r="O19" s="38"/>
      <c r="P19" s="32"/>
      <c r="Q19" s="32"/>
      <c r="R19" s="51">
        <v>45513</v>
      </c>
      <c r="S19" s="39">
        <v>0.005</v>
      </c>
      <c r="T19" s="32"/>
      <c r="U19" s="32" t="s">
        <v>61</v>
      </c>
    </row>
    <row r="20" ht="16.5" spans="2:21">
      <c r="B20" s="30">
        <f t="shared" si="0"/>
        <v>18</v>
      </c>
      <c r="C20" s="30" t="s">
        <v>114</v>
      </c>
      <c r="D20" s="32" t="s">
        <v>63</v>
      </c>
      <c r="E20" s="32" t="s">
        <v>59</v>
      </c>
      <c r="F20" s="33">
        <v>46059</v>
      </c>
      <c r="G20" s="33"/>
      <c r="H20" s="33">
        <v>45484</v>
      </c>
      <c r="I20" s="35" t="s">
        <v>60</v>
      </c>
      <c r="J20" s="32">
        <f>900000-400000</f>
        <v>500000</v>
      </c>
      <c r="K20" s="32"/>
      <c r="L20" s="32">
        <v>3519260516</v>
      </c>
      <c r="M20" s="32"/>
      <c r="N20" s="32"/>
      <c r="O20" s="38"/>
      <c r="P20" s="32"/>
      <c r="Q20" s="32"/>
      <c r="R20" s="33">
        <v>46059</v>
      </c>
      <c r="S20" s="39">
        <v>0.005</v>
      </c>
      <c r="T20" s="32"/>
      <c r="U20" s="32" t="s">
        <v>61</v>
      </c>
    </row>
    <row r="21" ht="16.5" spans="2:21">
      <c r="B21" s="30">
        <f t="shared" si="0"/>
        <v>19</v>
      </c>
      <c r="C21" s="30" t="s">
        <v>110</v>
      </c>
      <c r="D21" s="31" t="s">
        <v>124</v>
      </c>
      <c r="E21" s="32" t="s">
        <v>59</v>
      </c>
      <c r="F21" s="33"/>
      <c r="G21" s="34"/>
      <c r="H21" s="34">
        <v>46174</v>
      </c>
      <c r="I21" s="35" t="s">
        <v>60</v>
      </c>
      <c r="J21" s="36">
        <v>600000</v>
      </c>
      <c r="K21" s="37"/>
      <c r="L21" s="35"/>
      <c r="M21" s="32">
        <v>9000</v>
      </c>
      <c r="N21" s="32"/>
      <c r="O21" s="38"/>
      <c r="P21" s="32"/>
      <c r="Q21" s="32"/>
      <c r="R21" s="50">
        <v>46235</v>
      </c>
      <c r="S21" s="39"/>
      <c r="T21" s="52"/>
      <c r="U21" s="32"/>
    </row>
    <row r="22" ht="16.5" spans="2:21">
      <c r="B22" s="30">
        <f t="shared" si="0"/>
        <v>20</v>
      </c>
      <c r="C22" s="30" t="s">
        <v>110</v>
      </c>
      <c r="D22" s="31" t="s">
        <v>81</v>
      </c>
      <c r="E22" s="32" t="s">
        <v>32</v>
      </c>
      <c r="F22" s="33"/>
      <c r="G22" s="34">
        <v>45978</v>
      </c>
      <c r="H22" s="34">
        <v>45949</v>
      </c>
      <c r="I22" s="35" t="s">
        <v>125</v>
      </c>
      <c r="J22" s="36">
        <v>8500</v>
      </c>
      <c r="K22" s="37"/>
      <c r="L22" s="35"/>
      <c r="M22" s="32">
        <v>210</v>
      </c>
      <c r="N22" s="32"/>
      <c r="O22" s="38"/>
      <c r="P22" s="32">
        <v>17</v>
      </c>
      <c r="Q22" s="32"/>
      <c r="R22" s="50">
        <v>46282</v>
      </c>
      <c r="S22" s="53"/>
      <c r="T22" s="52"/>
      <c r="U22" s="32"/>
    </row>
    <row r="23" ht="16.5" spans="2:21">
      <c r="B23" s="30">
        <f t="shared" si="0"/>
        <v>21</v>
      </c>
      <c r="C23" s="30" t="s">
        <v>110</v>
      </c>
      <c r="D23" s="31" t="s">
        <v>120</v>
      </c>
      <c r="E23" s="32" t="s">
        <v>32</v>
      </c>
      <c r="F23" s="33"/>
      <c r="G23" s="34">
        <v>46156</v>
      </c>
      <c r="H23" s="34">
        <v>46127</v>
      </c>
      <c r="I23" s="35" t="s">
        <v>126</v>
      </c>
      <c r="J23" s="36">
        <v>26000</v>
      </c>
      <c r="K23" s="37"/>
      <c r="L23" s="35"/>
      <c r="M23" s="32">
        <v>600</v>
      </c>
      <c r="N23" s="32"/>
      <c r="O23" s="31"/>
      <c r="P23" s="32">
        <v>14</v>
      </c>
      <c r="Q23" s="32"/>
      <c r="R23" s="50">
        <v>46279</v>
      </c>
      <c r="S23" s="53"/>
      <c r="T23" s="52"/>
      <c r="U23" s="32"/>
    </row>
    <row r="24" ht="16.5" spans="2:21">
      <c r="B24" s="30">
        <f t="shared" si="0"/>
        <v>22</v>
      </c>
      <c r="C24" s="30" t="s">
        <v>110</v>
      </c>
      <c r="D24" s="31" t="s">
        <v>81</v>
      </c>
      <c r="E24" s="32" t="s">
        <v>32</v>
      </c>
      <c r="F24" s="33"/>
      <c r="G24" s="34">
        <v>46156</v>
      </c>
      <c r="H24" s="34">
        <v>46127</v>
      </c>
      <c r="I24" s="35" t="s">
        <v>126</v>
      </c>
      <c r="J24" s="36">
        <v>4700</v>
      </c>
      <c r="K24" s="37"/>
      <c r="L24" s="35"/>
      <c r="M24" s="32">
        <v>120</v>
      </c>
      <c r="N24" s="32"/>
      <c r="O24" s="38"/>
      <c r="P24" s="32">
        <v>14</v>
      </c>
      <c r="Q24" s="32"/>
      <c r="R24" s="50">
        <v>46279</v>
      </c>
      <c r="S24" s="53"/>
      <c r="T24" s="52"/>
      <c r="U24" s="32"/>
    </row>
    <row r="25" ht="16.5" spans="2:21">
      <c r="B25" s="30">
        <f t="shared" si="0"/>
        <v>23</v>
      </c>
      <c r="C25" s="30" t="s">
        <v>110</v>
      </c>
      <c r="D25" s="31" t="s">
        <v>81</v>
      </c>
      <c r="E25" s="32" t="s">
        <v>32</v>
      </c>
      <c r="F25" s="33"/>
      <c r="G25" s="34"/>
      <c r="H25" s="34">
        <v>46158</v>
      </c>
      <c r="I25" s="35" t="s">
        <v>127</v>
      </c>
      <c r="J25" s="36">
        <v>5000</v>
      </c>
      <c r="K25" s="37"/>
      <c r="L25" s="35"/>
      <c r="M25" s="32">
        <v>120</v>
      </c>
      <c r="N25" s="32"/>
      <c r="O25" s="38"/>
      <c r="P25" s="32">
        <v>15</v>
      </c>
      <c r="Q25" s="32"/>
      <c r="R25" s="50">
        <v>46280</v>
      </c>
      <c r="S25" s="53"/>
      <c r="T25" s="52"/>
      <c r="U25" s="32"/>
    </row>
    <row r="26" ht="16.5" spans="2:21">
      <c r="B26" s="30">
        <f t="shared" si="0"/>
        <v>24</v>
      </c>
      <c r="C26" s="30" t="s">
        <v>110</v>
      </c>
      <c r="D26" s="31" t="s">
        <v>128</v>
      </c>
      <c r="E26" s="32" t="s">
        <v>129</v>
      </c>
      <c r="F26" s="33"/>
      <c r="G26" s="34">
        <v>46182</v>
      </c>
      <c r="H26" s="34">
        <v>46169</v>
      </c>
      <c r="I26" s="35" t="s">
        <v>130</v>
      </c>
      <c r="J26" s="36">
        <v>700000</v>
      </c>
      <c r="K26" s="37"/>
      <c r="L26" s="35"/>
      <c r="M26" s="32"/>
      <c r="N26" s="32"/>
      <c r="O26" s="38"/>
      <c r="P26" s="32">
        <v>27</v>
      </c>
      <c r="Q26" s="32"/>
      <c r="R26" s="50">
        <v>46169</v>
      </c>
      <c r="S26" s="53"/>
      <c r="T26" s="52"/>
      <c r="U26" s="32"/>
    </row>
    <row r="27" ht="16.5" spans="2:21">
      <c r="B27" s="30">
        <f t="shared" si="0"/>
        <v>25</v>
      </c>
      <c r="C27" s="30" t="s">
        <v>110</v>
      </c>
      <c r="D27" s="31" t="s">
        <v>128</v>
      </c>
      <c r="E27" s="32" t="s">
        <v>122</v>
      </c>
      <c r="F27" s="33"/>
      <c r="G27" s="31"/>
      <c r="H27" s="34">
        <v>45333</v>
      </c>
      <c r="I27" s="35" t="s">
        <v>131</v>
      </c>
      <c r="J27" s="36">
        <v>150000</v>
      </c>
      <c r="K27" s="37"/>
      <c r="L27" s="35"/>
      <c r="M27" s="32">
        <v>3750</v>
      </c>
      <c r="N27" s="32"/>
      <c r="O27" s="38"/>
      <c r="P27" s="32">
        <v>10</v>
      </c>
      <c r="Q27" s="32"/>
      <c r="R27" s="50">
        <v>46001</v>
      </c>
      <c r="S27" s="53"/>
      <c r="T27" s="52"/>
      <c r="U27" s="32"/>
    </row>
    <row r="28" ht="16.5" spans="2:21">
      <c r="B28" s="30">
        <f t="shared" si="0"/>
        <v>26</v>
      </c>
      <c r="C28" s="30" t="s">
        <v>114</v>
      </c>
      <c r="D28" s="32" t="s">
        <v>47</v>
      </c>
      <c r="E28" s="32" t="s">
        <v>28</v>
      </c>
      <c r="F28" s="33">
        <v>44893</v>
      </c>
      <c r="G28" s="33"/>
      <c r="H28" s="33">
        <v>45227</v>
      </c>
      <c r="I28" s="32" t="s">
        <v>46</v>
      </c>
      <c r="J28" s="54">
        <v>50000</v>
      </c>
      <c r="K28" s="54"/>
      <c r="L28" s="32"/>
      <c r="M28" s="32">
        <v>1250</v>
      </c>
      <c r="N28" s="32"/>
      <c r="O28" s="38"/>
      <c r="P28" s="32">
        <v>28</v>
      </c>
      <c r="Q28" s="32"/>
      <c r="R28" s="51">
        <v>45197</v>
      </c>
      <c r="S28" s="53">
        <v>0.025</v>
      </c>
      <c r="T28" s="52">
        <v>1250</v>
      </c>
      <c r="U28" s="32" t="s">
        <v>30</v>
      </c>
    </row>
    <row r="29" ht="16.5" spans="2:21">
      <c r="B29" s="30">
        <f t="shared" si="0"/>
        <v>27</v>
      </c>
      <c r="C29" s="30" t="s">
        <v>114</v>
      </c>
      <c r="D29" s="32" t="s">
        <v>47</v>
      </c>
      <c r="E29" s="32" t="s">
        <v>32</v>
      </c>
      <c r="F29" s="33">
        <v>45821</v>
      </c>
      <c r="G29" s="33">
        <v>45910</v>
      </c>
      <c r="H29" s="33"/>
      <c r="I29" s="35" t="s">
        <v>70</v>
      </c>
      <c r="J29" s="32">
        <v>60000</v>
      </c>
      <c r="K29" s="36"/>
      <c r="L29" s="32">
        <v>3519252793</v>
      </c>
      <c r="M29" s="32">
        <f>J29*0.025</f>
        <v>1500</v>
      </c>
      <c r="N29" s="32"/>
      <c r="O29" s="38"/>
      <c r="P29" s="32">
        <v>14</v>
      </c>
      <c r="Q29" s="32"/>
      <c r="R29" s="51">
        <v>46279</v>
      </c>
      <c r="S29" s="53">
        <v>0.025</v>
      </c>
      <c r="T29" s="52"/>
      <c r="U29" s="32" t="s">
        <v>30</v>
      </c>
    </row>
    <row r="30" ht="16.5" spans="2:21">
      <c r="B30" s="30">
        <f t="shared" si="0"/>
        <v>28</v>
      </c>
      <c r="C30" s="30" t="s">
        <v>114</v>
      </c>
      <c r="D30" s="32" t="s">
        <v>47</v>
      </c>
      <c r="E30" s="32" t="s">
        <v>32</v>
      </c>
      <c r="F30" s="33">
        <v>45982</v>
      </c>
      <c r="G30" s="33">
        <v>46072</v>
      </c>
      <c r="H30" s="33"/>
      <c r="I30" s="35" t="s">
        <v>77</v>
      </c>
      <c r="J30" s="32">
        <f>50000+150000</f>
        <v>200000</v>
      </c>
      <c r="K30" s="36"/>
      <c r="L30" s="32"/>
      <c r="M30" s="32">
        <f>J30*0.025</f>
        <v>5000</v>
      </c>
      <c r="N30" s="32"/>
      <c r="O30" s="38"/>
      <c r="P30" s="32">
        <v>20</v>
      </c>
      <c r="Q30" s="32"/>
      <c r="R30" s="51">
        <v>46285</v>
      </c>
      <c r="S30" s="53">
        <v>0.025</v>
      </c>
      <c r="T30" s="52"/>
      <c r="U30" s="32" t="s">
        <v>30</v>
      </c>
    </row>
    <row r="31" ht="16.5" spans="2:21">
      <c r="B31" s="30">
        <f t="shared" si="0"/>
        <v>29</v>
      </c>
      <c r="C31" s="30" t="s">
        <v>110</v>
      </c>
      <c r="D31" s="31" t="s">
        <v>86</v>
      </c>
      <c r="E31" s="32" t="s">
        <v>32</v>
      </c>
      <c r="F31" s="33"/>
      <c r="G31" s="34"/>
      <c r="H31" s="34">
        <v>45919</v>
      </c>
      <c r="I31" s="35" t="s">
        <v>77</v>
      </c>
      <c r="J31" s="36">
        <v>100000</v>
      </c>
      <c r="K31" s="37"/>
      <c r="L31" s="35"/>
      <c r="M31" s="32">
        <v>3000</v>
      </c>
      <c r="N31" s="32"/>
      <c r="O31" s="38"/>
      <c r="P31" s="32">
        <v>18</v>
      </c>
      <c r="Q31" s="32"/>
      <c r="R31" s="50">
        <v>46283</v>
      </c>
      <c r="S31" s="53"/>
      <c r="T31" s="52"/>
      <c r="U31" s="32"/>
    </row>
    <row r="32" ht="16.5" spans="2:21">
      <c r="B32" s="30">
        <f t="shared" si="0"/>
        <v>30</v>
      </c>
      <c r="C32" s="30" t="s">
        <v>114</v>
      </c>
      <c r="D32" s="32" t="s">
        <v>86</v>
      </c>
      <c r="E32" s="32" t="s">
        <v>32</v>
      </c>
      <c r="F32" s="33">
        <v>46160</v>
      </c>
      <c r="G32" s="33">
        <v>46219</v>
      </c>
      <c r="H32" s="33"/>
      <c r="I32" s="35" t="s">
        <v>87</v>
      </c>
      <c r="J32" s="32">
        <f>95000-2000</f>
        <v>93000</v>
      </c>
      <c r="K32" s="36"/>
      <c r="L32" s="35">
        <v>3524019226</v>
      </c>
      <c r="M32" s="30">
        <v>2875</v>
      </c>
      <c r="N32" s="32">
        <f>J32*S32</f>
        <v>465</v>
      </c>
      <c r="O32" s="38"/>
      <c r="P32" s="32">
        <v>17</v>
      </c>
      <c r="Q32" s="32"/>
      <c r="R32" s="51">
        <v>46282</v>
      </c>
      <c r="S32" s="53">
        <v>0.005</v>
      </c>
      <c r="T32" s="52"/>
      <c r="U32" s="32"/>
    </row>
    <row r="33" ht="16.5" spans="2:21">
      <c r="B33" s="30">
        <f t="shared" si="0"/>
        <v>31</v>
      </c>
      <c r="C33" s="30" t="s">
        <v>110</v>
      </c>
      <c r="D33" s="31" t="s">
        <v>92</v>
      </c>
      <c r="E33" s="32" t="s">
        <v>32</v>
      </c>
      <c r="F33" s="33"/>
      <c r="G33" s="34"/>
      <c r="H33" s="34">
        <v>46135</v>
      </c>
      <c r="I33" s="35" t="s">
        <v>132</v>
      </c>
      <c r="J33" s="36">
        <v>60000</v>
      </c>
      <c r="K33" s="37"/>
      <c r="L33" s="35"/>
      <c r="M33" s="32">
        <v>1500</v>
      </c>
      <c r="N33" s="32"/>
      <c r="O33" s="38"/>
      <c r="P33" s="32">
        <v>22</v>
      </c>
      <c r="Q33" s="32"/>
      <c r="R33" s="50">
        <v>46287</v>
      </c>
      <c r="S33" s="53"/>
      <c r="T33" s="52"/>
      <c r="U33" s="32"/>
    </row>
    <row r="34" ht="16.5" spans="2:21">
      <c r="B34" s="30">
        <f t="shared" si="0"/>
        <v>32</v>
      </c>
      <c r="C34" s="30" t="s">
        <v>110</v>
      </c>
      <c r="D34" s="31" t="s">
        <v>81</v>
      </c>
      <c r="E34" s="32" t="s">
        <v>32</v>
      </c>
      <c r="F34" s="33"/>
      <c r="G34" s="34"/>
      <c r="H34" s="34">
        <v>46171</v>
      </c>
      <c r="I34" s="35" t="s">
        <v>133</v>
      </c>
      <c r="J34" s="36">
        <v>6000</v>
      </c>
      <c r="K34" s="37"/>
      <c r="L34" s="35"/>
      <c r="M34" s="32">
        <v>200</v>
      </c>
      <c r="N34" s="32"/>
      <c r="O34" s="38"/>
      <c r="P34" s="32">
        <v>28</v>
      </c>
      <c r="Q34" s="32"/>
      <c r="R34" s="50">
        <v>46293</v>
      </c>
      <c r="S34" s="53"/>
      <c r="T34" s="52"/>
      <c r="U34" s="32"/>
    </row>
    <row r="35" ht="16.5" spans="2:21">
      <c r="B35" s="30">
        <f t="shared" si="0"/>
        <v>33</v>
      </c>
      <c r="C35" s="30" t="s">
        <v>110</v>
      </c>
      <c r="D35" s="31" t="s">
        <v>47</v>
      </c>
      <c r="E35" s="32" t="s">
        <v>32</v>
      </c>
      <c r="F35" s="33"/>
      <c r="G35" s="34">
        <v>45690</v>
      </c>
      <c r="H35" s="34">
        <v>45631</v>
      </c>
      <c r="I35" s="35" t="s">
        <v>134</v>
      </c>
      <c r="J35" s="36">
        <v>2600000</v>
      </c>
      <c r="K35" s="37"/>
      <c r="L35" s="35"/>
      <c r="M35" s="32">
        <v>72800</v>
      </c>
      <c r="N35" s="32"/>
      <c r="O35" s="38"/>
      <c r="P35" s="32">
        <v>3</v>
      </c>
      <c r="Q35" s="32"/>
      <c r="R35" s="50">
        <v>46268</v>
      </c>
      <c r="S35" s="53"/>
      <c r="T35" s="52"/>
      <c r="U35" s="32"/>
    </row>
    <row r="36" ht="16.5" spans="2:21">
      <c r="B36" s="30">
        <f t="shared" si="0"/>
        <v>34</v>
      </c>
      <c r="C36" s="30" t="s">
        <v>114</v>
      </c>
      <c r="D36" s="32" t="s">
        <v>31</v>
      </c>
      <c r="E36" s="32" t="s">
        <v>32</v>
      </c>
      <c r="F36" s="33">
        <v>44453</v>
      </c>
      <c r="G36" s="33"/>
      <c r="H36" s="33">
        <v>45246</v>
      </c>
      <c r="I36" s="32" t="s">
        <v>33</v>
      </c>
      <c r="J36" s="54">
        <f>100000-50000</f>
        <v>50000</v>
      </c>
      <c r="K36" s="36"/>
      <c r="L36" s="32">
        <v>3519121346</v>
      </c>
      <c r="M36" s="32">
        <f>J36*0.025</f>
        <v>1250</v>
      </c>
      <c r="N36" s="32"/>
      <c r="O36" s="38" t="s">
        <v>135</v>
      </c>
      <c r="P36" s="32">
        <v>15</v>
      </c>
      <c r="Q36" s="32"/>
      <c r="R36" s="51">
        <v>46280</v>
      </c>
      <c r="S36" s="53">
        <v>0.025</v>
      </c>
      <c r="T36" s="52">
        <v>2500</v>
      </c>
      <c r="U36" s="32" t="s">
        <v>30</v>
      </c>
    </row>
    <row r="37" ht="16.5" spans="2:21">
      <c r="B37" s="30">
        <f t="shared" si="0"/>
        <v>35</v>
      </c>
      <c r="C37" s="30" t="s">
        <v>110</v>
      </c>
      <c r="D37" s="31" t="s">
        <v>136</v>
      </c>
      <c r="E37" s="32" t="s">
        <v>32</v>
      </c>
      <c r="F37" s="33"/>
      <c r="G37" s="55"/>
      <c r="H37" s="55">
        <v>44088</v>
      </c>
      <c r="I37" s="35" t="s">
        <v>33</v>
      </c>
      <c r="J37" s="36">
        <v>50000</v>
      </c>
      <c r="K37" s="56"/>
      <c r="L37" s="35"/>
      <c r="M37" s="32">
        <v>1250</v>
      </c>
      <c r="N37" s="32"/>
      <c r="O37" s="38" t="s">
        <v>137</v>
      </c>
      <c r="P37" s="32">
        <v>15</v>
      </c>
      <c r="Q37" s="32"/>
      <c r="R37" s="57">
        <v>46280</v>
      </c>
      <c r="S37" s="53"/>
      <c r="T37" s="52"/>
      <c r="U37" s="32"/>
    </row>
    <row r="38" ht="16.5" spans="2:21">
      <c r="B38" s="30">
        <f t="shared" si="0"/>
        <v>36</v>
      </c>
      <c r="C38" s="30" t="s">
        <v>114</v>
      </c>
      <c r="D38" s="32" t="s">
        <v>31</v>
      </c>
      <c r="E38" s="32" t="s">
        <v>32</v>
      </c>
      <c r="F38" s="33">
        <v>45758</v>
      </c>
      <c r="G38" s="33">
        <v>45846</v>
      </c>
      <c r="H38" s="33"/>
      <c r="I38" s="35" t="s">
        <v>68</v>
      </c>
      <c r="J38" s="32">
        <f>50000-5000</f>
        <v>45000</v>
      </c>
      <c r="K38" s="36"/>
      <c r="L38" s="32">
        <v>3519252785</v>
      </c>
      <c r="M38" s="32">
        <f>45000*0.03</f>
        <v>1350</v>
      </c>
      <c r="N38" s="32"/>
      <c r="O38" s="38"/>
      <c r="P38" s="32">
        <v>10</v>
      </c>
      <c r="Q38" s="32"/>
      <c r="R38" s="51">
        <v>46275</v>
      </c>
      <c r="S38" s="53">
        <v>0.03</v>
      </c>
      <c r="T38" s="32"/>
      <c r="U38" s="32" t="s">
        <v>30</v>
      </c>
    </row>
    <row r="39" ht="16.5" spans="2:21">
      <c r="B39" s="30">
        <f t="shared" si="0"/>
        <v>37</v>
      </c>
      <c r="C39" s="30" t="s">
        <v>110</v>
      </c>
      <c r="D39" s="31" t="s">
        <v>128</v>
      </c>
      <c r="E39" s="32" t="s">
        <v>32</v>
      </c>
      <c r="F39" s="33"/>
      <c r="G39" s="34">
        <v>45576</v>
      </c>
      <c r="H39" s="34">
        <v>45519</v>
      </c>
      <c r="I39" s="35" t="s">
        <v>138</v>
      </c>
      <c r="J39" s="36">
        <v>154000</v>
      </c>
      <c r="K39" s="37"/>
      <c r="L39" s="35"/>
      <c r="M39" s="32">
        <v>7000</v>
      </c>
      <c r="N39" s="32"/>
      <c r="O39" s="38"/>
      <c r="P39" s="32">
        <v>10</v>
      </c>
      <c r="Q39" s="32"/>
      <c r="R39" s="50">
        <v>45787</v>
      </c>
      <c r="S39" s="53"/>
      <c r="T39" s="52"/>
      <c r="U39" s="32"/>
    </row>
    <row r="40" ht="16.5" spans="2:21">
      <c r="B40" s="30">
        <f t="shared" si="0"/>
        <v>38</v>
      </c>
      <c r="C40" s="30" t="s">
        <v>114</v>
      </c>
      <c r="D40" s="32" t="s">
        <v>31</v>
      </c>
      <c r="E40" s="32" t="s">
        <v>32</v>
      </c>
      <c r="F40" s="33">
        <v>44578</v>
      </c>
      <c r="G40" s="33"/>
      <c r="H40" s="33">
        <v>45250</v>
      </c>
      <c r="I40" s="32" t="s">
        <v>36</v>
      </c>
      <c r="J40" s="54">
        <v>100000</v>
      </c>
      <c r="K40" s="36"/>
      <c r="L40" s="32">
        <v>3519156582</v>
      </c>
      <c r="M40" s="32">
        <v>2700</v>
      </c>
      <c r="N40" s="32"/>
      <c r="O40" s="38"/>
      <c r="P40" s="32">
        <v>15</v>
      </c>
      <c r="Q40" s="32"/>
      <c r="R40" s="51">
        <v>46280</v>
      </c>
      <c r="S40" s="53">
        <v>0.027</v>
      </c>
      <c r="T40" s="52">
        <v>2700</v>
      </c>
      <c r="U40" s="32" t="s">
        <v>30</v>
      </c>
    </row>
    <row r="41" ht="16.5" spans="2:21">
      <c r="B41" s="30">
        <f t="shared" si="0"/>
        <v>39</v>
      </c>
      <c r="C41" s="30" t="s">
        <v>114</v>
      </c>
      <c r="D41" s="32" t="s">
        <v>81</v>
      </c>
      <c r="E41" s="32" t="s">
        <v>32</v>
      </c>
      <c r="F41" s="33">
        <v>46183</v>
      </c>
      <c r="G41" s="33">
        <v>46362</v>
      </c>
      <c r="H41" s="33"/>
      <c r="I41" s="35" t="s">
        <v>91</v>
      </c>
      <c r="J41" s="32">
        <v>18000</v>
      </c>
      <c r="K41" s="36"/>
      <c r="L41" s="35">
        <v>3524019233</v>
      </c>
      <c r="M41" s="32">
        <v>540</v>
      </c>
      <c r="N41" s="32">
        <f>J41*S41</f>
        <v>90</v>
      </c>
      <c r="O41" s="38"/>
      <c r="P41" s="32">
        <v>9</v>
      </c>
      <c r="Q41" s="32"/>
      <c r="R41" s="51">
        <v>46274</v>
      </c>
      <c r="S41" s="53">
        <v>0.005</v>
      </c>
      <c r="T41" s="52"/>
      <c r="U41" s="32"/>
    </row>
    <row r="42" ht="16.5" spans="2:21">
      <c r="B42" s="30">
        <f t="shared" si="0"/>
        <v>40</v>
      </c>
      <c r="C42" s="30" t="s">
        <v>110</v>
      </c>
      <c r="D42" s="31" t="s">
        <v>81</v>
      </c>
      <c r="E42" s="32" t="s">
        <v>32</v>
      </c>
      <c r="F42" s="33"/>
      <c r="G42" s="34"/>
      <c r="H42" s="34">
        <v>46134</v>
      </c>
      <c r="I42" s="35" t="s">
        <v>91</v>
      </c>
      <c r="J42" s="36">
        <v>20000</v>
      </c>
      <c r="K42" s="37"/>
      <c r="L42" s="35"/>
      <c r="M42" s="32">
        <v>600</v>
      </c>
      <c r="N42" s="32"/>
      <c r="O42" s="38"/>
      <c r="P42" s="32">
        <v>21</v>
      </c>
      <c r="Q42" s="32"/>
      <c r="R42" s="50">
        <v>46286</v>
      </c>
      <c r="S42" s="53"/>
      <c r="T42" s="52"/>
      <c r="U42" s="32"/>
    </row>
    <row r="43" ht="16.5" spans="2:21">
      <c r="B43" s="30">
        <f t="shared" si="0"/>
        <v>41</v>
      </c>
      <c r="C43" s="30" t="s">
        <v>110</v>
      </c>
      <c r="D43" s="31" t="s">
        <v>81</v>
      </c>
      <c r="E43" s="32" t="s">
        <v>32</v>
      </c>
      <c r="F43" s="33"/>
      <c r="G43" s="34"/>
      <c r="H43" s="34">
        <v>46123</v>
      </c>
      <c r="I43" s="35" t="s">
        <v>139</v>
      </c>
      <c r="J43" s="36">
        <v>9600</v>
      </c>
      <c r="K43" s="37"/>
      <c r="L43" s="35"/>
      <c r="M43" s="32">
        <v>300</v>
      </c>
      <c r="N43" s="32"/>
      <c r="O43" s="38"/>
      <c r="P43" s="32">
        <v>10</v>
      </c>
      <c r="Q43" s="32"/>
      <c r="R43" s="50">
        <v>46275</v>
      </c>
      <c r="S43" s="53"/>
      <c r="T43" s="52"/>
      <c r="U43" s="32"/>
    </row>
    <row r="44" ht="16.5" spans="2:21">
      <c r="B44" s="30">
        <f t="shared" si="0"/>
        <v>42</v>
      </c>
      <c r="C44" s="30" t="s">
        <v>114</v>
      </c>
      <c r="D44" s="32" t="s">
        <v>47</v>
      </c>
      <c r="E44" s="32" t="s">
        <v>28</v>
      </c>
      <c r="F44" s="33">
        <v>45189</v>
      </c>
      <c r="G44" s="33"/>
      <c r="H44" s="33">
        <v>45250</v>
      </c>
      <c r="I44" s="32" t="s">
        <v>51</v>
      </c>
      <c r="J44" s="32">
        <f>100000-20000-10000-10000</f>
        <v>60000</v>
      </c>
      <c r="K44" s="32"/>
      <c r="L44" s="32">
        <v>3519211804</v>
      </c>
      <c r="M44" s="32">
        <v>1500</v>
      </c>
      <c r="N44" s="32"/>
      <c r="O44" s="38"/>
      <c r="P44" s="32">
        <v>15</v>
      </c>
      <c r="Q44" s="32"/>
      <c r="R44" s="51">
        <v>45703</v>
      </c>
      <c r="S44" s="53">
        <v>0.025</v>
      </c>
      <c r="T44" s="52">
        <v>2500</v>
      </c>
      <c r="U44" s="32" t="s">
        <v>30</v>
      </c>
    </row>
    <row r="45" ht="16.5" spans="2:21">
      <c r="B45" s="30">
        <f t="shared" si="0"/>
        <v>43</v>
      </c>
      <c r="C45" s="30" t="s">
        <v>114</v>
      </c>
      <c r="D45" s="32" t="s">
        <v>63</v>
      </c>
      <c r="E45" s="32" t="s">
        <v>59</v>
      </c>
      <c r="F45" s="33">
        <v>45900</v>
      </c>
      <c r="G45" s="33">
        <v>45959</v>
      </c>
      <c r="H45" s="32"/>
      <c r="I45" s="35" t="s">
        <v>74</v>
      </c>
      <c r="J45" s="32">
        <v>500000</v>
      </c>
      <c r="K45" s="32"/>
      <c r="L45" s="32">
        <v>3519260503</v>
      </c>
      <c r="M45" s="32"/>
      <c r="N45" s="32"/>
      <c r="O45" s="38"/>
      <c r="P45" s="32"/>
      <c r="Q45" s="32"/>
      <c r="R45" s="51">
        <v>45900</v>
      </c>
      <c r="S45" s="52"/>
      <c r="T45" s="51"/>
      <c r="U45" s="30"/>
    </row>
    <row r="46" ht="16.5" spans="2:21">
      <c r="B46" s="30">
        <f t="shared" si="0"/>
        <v>44</v>
      </c>
      <c r="C46" s="30" t="s">
        <v>114</v>
      </c>
      <c r="D46" s="32" t="s">
        <v>58</v>
      </c>
      <c r="E46" s="32" t="s">
        <v>59</v>
      </c>
      <c r="F46" s="33">
        <v>46097</v>
      </c>
      <c r="G46" s="33"/>
      <c r="H46" s="33"/>
      <c r="I46" s="35" t="s">
        <v>74</v>
      </c>
      <c r="J46" s="32">
        <v>330000</v>
      </c>
      <c r="K46" s="32"/>
      <c r="L46" s="32">
        <v>3519260519</v>
      </c>
      <c r="M46" s="32">
        <f>J46*S46</f>
        <v>231</v>
      </c>
      <c r="N46" s="32"/>
      <c r="O46" s="38"/>
      <c r="P46" s="32"/>
      <c r="Q46" s="32"/>
      <c r="R46" s="51">
        <v>46097</v>
      </c>
      <c r="S46" s="53">
        <v>0.0007</v>
      </c>
      <c r="T46" s="52"/>
      <c r="U46" s="32"/>
    </row>
    <row r="47" ht="16.5" spans="2:21">
      <c r="B47" s="30">
        <f t="shared" si="0"/>
        <v>45</v>
      </c>
      <c r="C47" s="30" t="s">
        <v>110</v>
      </c>
      <c r="D47" s="31" t="s">
        <v>81</v>
      </c>
      <c r="E47" s="32" t="s">
        <v>32</v>
      </c>
      <c r="F47" s="33"/>
      <c r="G47" s="34">
        <v>45743</v>
      </c>
      <c r="H47" s="34">
        <v>45713</v>
      </c>
      <c r="I47" s="35" t="s">
        <v>140</v>
      </c>
      <c r="J47" s="36">
        <v>27000</v>
      </c>
      <c r="K47" s="37"/>
      <c r="L47" s="35"/>
      <c r="M47" s="32">
        <v>675</v>
      </c>
      <c r="N47" s="32"/>
      <c r="O47" s="38"/>
      <c r="P47" s="32">
        <v>24</v>
      </c>
      <c r="Q47" s="32"/>
      <c r="R47" s="50">
        <v>46289</v>
      </c>
      <c r="S47" s="53"/>
      <c r="T47" s="52"/>
      <c r="U47" s="32"/>
    </row>
    <row r="48" ht="16.5" spans="2:21">
      <c r="B48" s="30">
        <f t="shared" si="0"/>
        <v>46</v>
      </c>
      <c r="C48" s="30" t="s">
        <v>114</v>
      </c>
      <c r="D48" s="32" t="s">
        <v>47</v>
      </c>
      <c r="E48" s="32" t="s">
        <v>32</v>
      </c>
      <c r="F48" s="33">
        <v>46261</v>
      </c>
      <c r="G48" s="33">
        <v>46350</v>
      </c>
      <c r="H48" s="33"/>
      <c r="I48" s="35" t="s">
        <v>98</v>
      </c>
      <c r="J48" s="32">
        <v>120000</v>
      </c>
      <c r="K48" s="36"/>
      <c r="L48" s="35">
        <v>3524019245</v>
      </c>
      <c r="M48" s="32">
        <f>J48*S48</f>
        <v>3000</v>
      </c>
      <c r="N48" s="32"/>
      <c r="O48" s="38"/>
      <c r="P48" s="32">
        <v>26</v>
      </c>
      <c r="Q48" s="32"/>
      <c r="R48" s="51">
        <v>46291</v>
      </c>
      <c r="S48" s="53">
        <v>0.025</v>
      </c>
      <c r="T48" s="52"/>
      <c r="U48" s="32"/>
    </row>
    <row r="49" ht="16.5" spans="2:21">
      <c r="B49" s="30">
        <f t="shared" si="0"/>
        <v>47</v>
      </c>
      <c r="C49" s="30" t="s">
        <v>110</v>
      </c>
      <c r="D49" s="31" t="s">
        <v>141</v>
      </c>
      <c r="E49" s="32" t="s">
        <v>32</v>
      </c>
      <c r="F49" s="33"/>
      <c r="G49" s="34"/>
      <c r="H49" s="34">
        <v>46263</v>
      </c>
      <c r="I49" s="35" t="s">
        <v>142</v>
      </c>
      <c r="J49" s="36">
        <v>2000</v>
      </c>
      <c r="K49" s="37"/>
      <c r="L49" s="35"/>
      <c r="M49" s="32">
        <v>200</v>
      </c>
      <c r="N49" s="32"/>
      <c r="O49" s="38"/>
      <c r="P49" s="32">
        <v>27</v>
      </c>
      <c r="Q49" s="32"/>
      <c r="R49" s="50">
        <v>46292</v>
      </c>
      <c r="S49" s="53"/>
      <c r="T49" s="52"/>
      <c r="U49" s="32"/>
    </row>
    <row r="50" ht="16.5" spans="2:21">
      <c r="B50" s="30">
        <f t="shared" si="0"/>
        <v>48</v>
      </c>
      <c r="C50" s="30" t="s">
        <v>114</v>
      </c>
      <c r="D50" s="32" t="s">
        <v>47</v>
      </c>
      <c r="E50" s="32" t="s">
        <v>28</v>
      </c>
      <c r="F50" s="33">
        <v>45254</v>
      </c>
      <c r="G50" s="33"/>
      <c r="H50" s="33">
        <v>45254</v>
      </c>
      <c r="I50" s="32" t="s">
        <v>52</v>
      </c>
      <c r="J50" s="54">
        <v>90000</v>
      </c>
      <c r="K50" s="54"/>
      <c r="L50" s="32">
        <v>3519211817</v>
      </c>
      <c r="M50" s="32">
        <v>2500</v>
      </c>
      <c r="N50" s="32"/>
      <c r="O50" s="38"/>
      <c r="P50" s="32">
        <v>18</v>
      </c>
      <c r="Q50" s="32"/>
      <c r="R50" s="51">
        <v>45706</v>
      </c>
      <c r="S50" s="53">
        <v>0.025</v>
      </c>
      <c r="T50" s="52">
        <v>2500</v>
      </c>
      <c r="U50" s="32" t="s">
        <v>30</v>
      </c>
    </row>
    <row r="51" ht="16.5" spans="2:21">
      <c r="B51" s="30">
        <f t="shared" si="0"/>
        <v>49</v>
      </c>
      <c r="C51" s="30" t="s">
        <v>114</v>
      </c>
      <c r="D51" s="32" t="s">
        <v>92</v>
      </c>
      <c r="E51" s="32" t="s">
        <v>32</v>
      </c>
      <c r="F51" s="33">
        <v>46195</v>
      </c>
      <c r="G51" s="33">
        <v>46374</v>
      </c>
      <c r="H51" s="33"/>
      <c r="I51" s="35" t="s">
        <v>93</v>
      </c>
      <c r="J51" s="32">
        <v>60000</v>
      </c>
      <c r="K51" s="36"/>
      <c r="L51" s="35">
        <v>3524019235</v>
      </c>
      <c r="M51" s="32">
        <v>1500</v>
      </c>
      <c r="N51" s="32">
        <f>J51*S51</f>
        <v>240</v>
      </c>
      <c r="O51" s="38"/>
      <c r="P51" s="32">
        <v>21</v>
      </c>
      <c r="Q51" s="32"/>
      <c r="R51" s="51">
        <v>46286</v>
      </c>
      <c r="S51" s="53">
        <v>0.004</v>
      </c>
      <c r="T51" s="52"/>
      <c r="U51" s="32"/>
    </row>
    <row r="52" ht="16.5" spans="2:21">
      <c r="B52" s="30">
        <f t="shared" si="0"/>
        <v>50</v>
      </c>
      <c r="C52" s="30" t="s">
        <v>110</v>
      </c>
      <c r="D52" s="31" t="s">
        <v>81</v>
      </c>
      <c r="E52" s="32" t="s">
        <v>32</v>
      </c>
      <c r="F52" s="33"/>
      <c r="G52" s="34">
        <v>46088</v>
      </c>
      <c r="H52" s="34">
        <v>46060</v>
      </c>
      <c r="I52" s="35" t="s">
        <v>143</v>
      </c>
      <c r="J52" s="36">
        <v>2200</v>
      </c>
      <c r="K52" s="37"/>
      <c r="L52" s="35"/>
      <c r="M52" s="58">
        <v>200</v>
      </c>
      <c r="N52" s="32"/>
      <c r="O52" s="38"/>
      <c r="P52" s="32">
        <v>6</v>
      </c>
      <c r="Q52" s="32"/>
      <c r="R52" s="50">
        <v>46271</v>
      </c>
      <c r="S52" s="53"/>
      <c r="T52" s="52"/>
      <c r="U52" s="32"/>
    </row>
    <row r="53" ht="16.5" spans="2:21">
      <c r="B53" s="30">
        <f t="shared" si="0"/>
        <v>51</v>
      </c>
      <c r="C53" s="30" t="s">
        <v>110</v>
      </c>
      <c r="D53" s="31" t="s">
        <v>81</v>
      </c>
      <c r="E53" s="32" t="s">
        <v>32</v>
      </c>
      <c r="F53" s="33"/>
      <c r="G53" s="34">
        <v>46117</v>
      </c>
      <c r="H53" s="34">
        <v>46087</v>
      </c>
      <c r="I53" s="35" t="s">
        <v>143</v>
      </c>
      <c r="J53" s="36">
        <v>1000</v>
      </c>
      <c r="K53" s="37"/>
      <c r="L53" s="35"/>
      <c r="M53" s="32">
        <v>100</v>
      </c>
      <c r="N53" s="32"/>
      <c r="O53" s="38"/>
      <c r="P53" s="32">
        <v>6</v>
      </c>
      <c r="Q53" s="32"/>
      <c r="R53" s="50">
        <v>46271</v>
      </c>
      <c r="S53" s="53"/>
      <c r="T53" s="52"/>
      <c r="U53" s="32"/>
    </row>
    <row r="54" ht="16.5" spans="2:21">
      <c r="B54" s="30">
        <f t="shared" si="0"/>
        <v>52</v>
      </c>
      <c r="C54" s="30" t="s">
        <v>110</v>
      </c>
      <c r="D54" s="31" t="s">
        <v>81</v>
      </c>
      <c r="E54" s="32" t="s">
        <v>32</v>
      </c>
      <c r="F54" s="33"/>
      <c r="G54" s="34"/>
      <c r="H54" s="34">
        <v>46262</v>
      </c>
      <c r="I54" s="35" t="s">
        <v>144</v>
      </c>
      <c r="J54" s="36">
        <v>7500</v>
      </c>
      <c r="K54" s="37"/>
      <c r="L54" s="35"/>
      <c r="M54" s="32">
        <v>200</v>
      </c>
      <c r="N54" s="32"/>
      <c r="O54" s="38"/>
      <c r="P54" s="32">
        <v>26</v>
      </c>
      <c r="Q54" s="32"/>
      <c r="R54" s="50">
        <v>46291</v>
      </c>
      <c r="S54" s="53"/>
      <c r="T54" s="52"/>
      <c r="U54" s="32"/>
    </row>
    <row r="55" ht="16.5" spans="2:21">
      <c r="B55" s="30">
        <f t="shared" si="0"/>
        <v>53</v>
      </c>
      <c r="C55" s="30" t="s">
        <v>110</v>
      </c>
      <c r="D55" s="31" t="s">
        <v>128</v>
      </c>
      <c r="E55" s="32" t="s">
        <v>145</v>
      </c>
      <c r="F55" s="33"/>
      <c r="G55" s="55"/>
      <c r="H55" s="55">
        <v>44295</v>
      </c>
      <c r="I55" s="35" t="s">
        <v>146</v>
      </c>
      <c r="J55" s="36">
        <v>60000</v>
      </c>
      <c r="K55" s="56"/>
      <c r="L55" s="35"/>
      <c r="M55" s="32"/>
      <c r="N55" s="32"/>
      <c r="O55" s="59"/>
      <c r="P55" s="32"/>
      <c r="Q55" s="32"/>
      <c r="R55" s="57"/>
      <c r="S55" s="53"/>
      <c r="T55" s="52"/>
      <c r="U55" s="32"/>
    </row>
    <row r="56" ht="16.5" spans="2:21">
      <c r="B56" s="30">
        <f t="shared" si="0"/>
        <v>54</v>
      </c>
      <c r="C56" s="30" t="s">
        <v>110</v>
      </c>
      <c r="D56" s="31" t="s">
        <v>81</v>
      </c>
      <c r="E56" s="32" t="s">
        <v>32</v>
      </c>
      <c r="F56" s="33"/>
      <c r="G56" s="34"/>
      <c r="H56" s="34">
        <v>46174</v>
      </c>
      <c r="I56" s="35" t="s">
        <v>147</v>
      </c>
      <c r="J56" s="36">
        <v>90000</v>
      </c>
      <c r="K56" s="37"/>
      <c r="L56" s="35"/>
      <c r="M56" s="32">
        <v>2250</v>
      </c>
      <c r="N56" s="32"/>
      <c r="O56" s="38"/>
      <c r="P56" s="32">
        <v>1</v>
      </c>
      <c r="Q56" s="32"/>
      <c r="R56" s="50">
        <v>46266</v>
      </c>
      <c r="S56" s="53"/>
      <c r="T56" s="52"/>
      <c r="U56" s="32"/>
    </row>
    <row r="57" ht="16.5" spans="2:21">
      <c r="B57" s="30">
        <f t="shared" si="0"/>
        <v>55</v>
      </c>
      <c r="C57" s="30" t="s">
        <v>110</v>
      </c>
      <c r="D57" s="31" t="s">
        <v>128</v>
      </c>
      <c r="E57" s="32" t="s">
        <v>145</v>
      </c>
      <c r="F57" s="33"/>
      <c r="G57" s="55"/>
      <c r="H57" s="55">
        <v>44617</v>
      </c>
      <c r="I57" s="35" t="s">
        <v>148</v>
      </c>
      <c r="J57" s="36">
        <v>34000</v>
      </c>
      <c r="K57" s="37"/>
      <c r="L57" s="35"/>
      <c r="M57" s="32"/>
      <c r="N57" s="32"/>
      <c r="O57" s="59"/>
      <c r="P57" s="32"/>
      <c r="Q57" s="32"/>
      <c r="R57" s="57"/>
      <c r="S57" s="53"/>
      <c r="T57" s="52"/>
      <c r="U57" s="32"/>
    </row>
    <row r="58" ht="16.5" spans="2:21">
      <c r="B58" s="30">
        <f t="shared" si="0"/>
        <v>56</v>
      </c>
      <c r="C58" s="30" t="s">
        <v>114</v>
      </c>
      <c r="D58" s="32" t="s">
        <v>63</v>
      </c>
      <c r="E58" s="32" t="s">
        <v>59</v>
      </c>
      <c r="F58" s="33">
        <v>45590</v>
      </c>
      <c r="G58" s="33">
        <v>45679</v>
      </c>
      <c r="H58" s="33"/>
      <c r="I58" s="35" t="s">
        <v>64</v>
      </c>
      <c r="J58" s="32">
        <f>400000-140000</f>
        <v>260000</v>
      </c>
      <c r="K58" s="32"/>
      <c r="L58" s="32">
        <v>3519252757</v>
      </c>
      <c r="M58" s="32">
        <f>J58*S58</f>
        <v>2080</v>
      </c>
      <c r="N58" s="32"/>
      <c r="O58" s="38"/>
      <c r="P58" s="38"/>
      <c r="Q58" s="32"/>
      <c r="R58" s="51">
        <v>45677</v>
      </c>
      <c r="S58" s="60">
        <v>0.008</v>
      </c>
      <c r="T58" s="52"/>
      <c r="U58" s="32"/>
    </row>
    <row r="59" ht="16.5" spans="2:21">
      <c r="B59" s="30">
        <f t="shared" si="0"/>
        <v>57</v>
      </c>
      <c r="C59" s="30" t="s">
        <v>114</v>
      </c>
      <c r="D59" s="32" t="s">
        <v>58</v>
      </c>
      <c r="E59" s="32" t="s">
        <v>59</v>
      </c>
      <c r="F59" s="33">
        <v>46168</v>
      </c>
      <c r="G59" s="33">
        <v>46183</v>
      </c>
      <c r="H59" s="33"/>
      <c r="I59" s="35" t="s">
        <v>64</v>
      </c>
      <c r="J59" s="32">
        <v>300000</v>
      </c>
      <c r="K59" s="32"/>
      <c r="L59" s="35"/>
      <c r="M59" s="32">
        <f>J59*S59</f>
        <v>1200</v>
      </c>
      <c r="N59" s="32"/>
      <c r="O59" s="38"/>
      <c r="P59" s="38"/>
      <c r="Q59" s="32"/>
      <c r="R59" s="51">
        <v>46168</v>
      </c>
      <c r="S59" s="53">
        <v>0.004</v>
      </c>
      <c r="T59" s="52"/>
      <c r="U59" s="32"/>
    </row>
    <row r="60" ht="16.5" spans="2:21">
      <c r="B60" s="30">
        <f t="shared" si="0"/>
        <v>58</v>
      </c>
      <c r="C60" s="30" t="s">
        <v>110</v>
      </c>
      <c r="D60" s="31" t="s">
        <v>128</v>
      </c>
      <c r="E60" s="32" t="s">
        <v>32</v>
      </c>
      <c r="F60" s="33"/>
      <c r="G60" s="34">
        <v>46270</v>
      </c>
      <c r="H60" s="34">
        <v>46086</v>
      </c>
      <c r="I60" s="35" t="s">
        <v>64</v>
      </c>
      <c r="J60" s="36">
        <v>200000</v>
      </c>
      <c r="K60" s="37"/>
      <c r="L60" s="61"/>
      <c r="M60" s="32"/>
      <c r="N60" s="32"/>
      <c r="O60" s="38"/>
      <c r="P60" s="38">
        <v>5</v>
      </c>
      <c r="Q60" s="32"/>
      <c r="R60" s="50">
        <v>46086</v>
      </c>
      <c r="S60" s="53"/>
      <c r="T60" s="52"/>
      <c r="U60" s="32"/>
    </row>
    <row r="61" ht="16.5" spans="2:21">
      <c r="B61" s="30">
        <f t="shared" si="0"/>
        <v>59</v>
      </c>
      <c r="C61" s="30" t="s">
        <v>110</v>
      </c>
      <c r="D61" s="31" t="s">
        <v>128</v>
      </c>
      <c r="E61" s="32" t="s">
        <v>32</v>
      </c>
      <c r="F61" s="33"/>
      <c r="G61" s="34">
        <v>46287</v>
      </c>
      <c r="H61" s="34">
        <v>46103</v>
      </c>
      <c r="I61" s="35" t="s">
        <v>64</v>
      </c>
      <c r="J61" s="36">
        <v>100000</v>
      </c>
      <c r="K61" s="37"/>
      <c r="L61" s="62"/>
      <c r="M61" s="32"/>
      <c r="N61" s="32"/>
      <c r="O61" s="38"/>
      <c r="P61" s="38">
        <v>22</v>
      </c>
      <c r="Q61" s="32"/>
      <c r="R61" s="50">
        <v>46103</v>
      </c>
      <c r="S61" s="53"/>
      <c r="T61" s="52"/>
      <c r="U61" s="32"/>
    </row>
    <row r="62" ht="16.5" spans="2:21">
      <c r="B62" s="30">
        <f t="shared" si="0"/>
        <v>60</v>
      </c>
      <c r="C62" s="30" t="s">
        <v>110</v>
      </c>
      <c r="D62" s="31" t="s">
        <v>128</v>
      </c>
      <c r="E62" s="32" t="s">
        <v>32</v>
      </c>
      <c r="F62" s="33"/>
      <c r="G62" s="34"/>
      <c r="H62" s="34">
        <v>46140</v>
      </c>
      <c r="I62" s="35" t="s">
        <v>64</v>
      </c>
      <c r="J62" s="36">
        <v>500000</v>
      </c>
      <c r="K62" s="37"/>
      <c r="L62" s="63"/>
      <c r="M62" s="32"/>
      <c r="N62" s="32"/>
      <c r="O62" s="38"/>
      <c r="P62" s="38">
        <v>28</v>
      </c>
      <c r="Q62" s="32"/>
      <c r="R62" s="50">
        <v>46140</v>
      </c>
      <c r="S62" s="53"/>
      <c r="T62" s="52"/>
      <c r="U62" s="32"/>
    </row>
    <row r="63" ht="16.5" spans="2:21">
      <c r="B63" s="30">
        <f t="shared" si="0"/>
        <v>61</v>
      </c>
      <c r="C63" s="30" t="s">
        <v>110</v>
      </c>
      <c r="D63" s="9" t="s">
        <v>149</v>
      </c>
      <c r="E63" s="32" t="s">
        <v>32</v>
      </c>
      <c r="F63" s="33"/>
      <c r="G63" s="64">
        <v>46267</v>
      </c>
      <c r="H63" s="34">
        <v>46258</v>
      </c>
      <c r="I63" s="35" t="s">
        <v>64</v>
      </c>
      <c r="J63" s="36">
        <v>400000</v>
      </c>
      <c r="K63" s="37"/>
      <c r="L63" s="35"/>
      <c r="M63" s="32"/>
      <c r="N63" s="32"/>
      <c r="O63" s="38"/>
      <c r="P63" s="38">
        <v>24</v>
      </c>
      <c r="Q63" s="32"/>
      <c r="R63" s="50">
        <v>46258</v>
      </c>
      <c r="S63" s="53"/>
      <c r="T63" s="52"/>
      <c r="U63" s="32"/>
    </row>
    <row r="64" ht="16.5" spans="2:21">
      <c r="B64" s="30">
        <f t="shared" si="0"/>
        <v>62</v>
      </c>
      <c r="C64" s="30" t="s">
        <v>110</v>
      </c>
      <c r="D64" s="31" t="s">
        <v>81</v>
      </c>
      <c r="E64" s="32" t="s">
        <v>32</v>
      </c>
      <c r="F64" s="33"/>
      <c r="G64" s="34">
        <v>46059</v>
      </c>
      <c r="H64" s="34">
        <v>46030</v>
      </c>
      <c r="I64" s="35" t="s">
        <v>150</v>
      </c>
      <c r="J64" s="36">
        <v>8000</v>
      </c>
      <c r="K64" s="37"/>
      <c r="L64" s="35"/>
      <c r="M64" s="32">
        <v>200</v>
      </c>
      <c r="N64" s="32"/>
      <c r="O64" s="38"/>
      <c r="P64" s="38">
        <v>7</v>
      </c>
      <c r="Q64" s="32"/>
      <c r="R64" s="50">
        <v>46272</v>
      </c>
      <c r="S64" s="53"/>
      <c r="T64" s="52"/>
      <c r="U64" s="32"/>
    </row>
    <row r="65" ht="16.5" spans="2:21">
      <c r="B65" s="30">
        <f t="shared" si="0"/>
        <v>63</v>
      </c>
      <c r="C65" s="30" t="s">
        <v>110</v>
      </c>
      <c r="D65" s="65" t="s">
        <v>81</v>
      </c>
      <c r="E65" s="32" t="s">
        <v>116</v>
      </c>
      <c r="F65" s="33"/>
      <c r="G65" s="66"/>
      <c r="H65" s="66">
        <v>46184</v>
      </c>
      <c r="I65" s="35" t="s">
        <v>151</v>
      </c>
      <c r="J65" s="36">
        <v>0</v>
      </c>
      <c r="K65" s="37"/>
      <c r="L65" s="35"/>
      <c r="M65" s="32">
        <v>700</v>
      </c>
      <c r="N65" s="32"/>
      <c r="O65" s="38"/>
      <c r="P65" s="38"/>
      <c r="Q65" s="32"/>
      <c r="R65" s="67">
        <v>46275</v>
      </c>
      <c r="S65" s="53"/>
      <c r="T65" s="52"/>
      <c r="U65" s="32"/>
    </row>
    <row r="66" ht="16.5" spans="2:21">
      <c r="B66" s="30">
        <f t="shared" si="0"/>
        <v>64</v>
      </c>
      <c r="C66" s="30" t="s">
        <v>114</v>
      </c>
      <c r="D66" s="32" t="s">
        <v>47</v>
      </c>
      <c r="E66" s="32" t="s">
        <v>28</v>
      </c>
      <c r="F66" s="33">
        <v>44326</v>
      </c>
      <c r="G66" s="33"/>
      <c r="H66" s="33">
        <v>45240</v>
      </c>
      <c r="I66" s="32" t="s">
        <v>29</v>
      </c>
      <c r="J66" s="54">
        <v>150000</v>
      </c>
      <c r="K66" s="54"/>
      <c r="L66" s="32">
        <v>3519121393</v>
      </c>
      <c r="M66" s="32">
        <v>3750</v>
      </c>
      <c r="N66" s="32"/>
      <c r="O66" s="38"/>
      <c r="P66" s="32">
        <v>10</v>
      </c>
      <c r="Q66" s="32"/>
      <c r="R66" s="51">
        <v>45332</v>
      </c>
      <c r="S66" s="53">
        <v>0.025</v>
      </c>
      <c r="T66" s="52">
        <v>3750</v>
      </c>
      <c r="U66" s="32" t="s">
        <v>30</v>
      </c>
    </row>
    <row r="67" ht="16.5" spans="2:21">
      <c r="B67" s="30">
        <f t="shared" ref="B67:B130" si="1">ROW()-2</f>
        <v>65</v>
      </c>
      <c r="C67" s="30" t="s">
        <v>110</v>
      </c>
      <c r="D67" s="31" t="s">
        <v>86</v>
      </c>
      <c r="E67" s="32" t="s">
        <v>32</v>
      </c>
      <c r="F67" s="33"/>
      <c r="G67" s="34">
        <v>46147</v>
      </c>
      <c r="H67" s="34">
        <v>46029</v>
      </c>
      <c r="I67" s="35" t="s">
        <v>152</v>
      </c>
      <c r="J67" s="36">
        <v>15000</v>
      </c>
      <c r="K67" s="37"/>
      <c r="L67" s="35"/>
      <c r="M67" s="32">
        <v>875</v>
      </c>
      <c r="N67" s="32"/>
      <c r="O67" s="38"/>
      <c r="P67" s="32">
        <v>6</v>
      </c>
      <c r="Q67" s="32"/>
      <c r="R67" s="50">
        <v>46271</v>
      </c>
      <c r="S67" s="53"/>
      <c r="T67" s="52"/>
      <c r="U67" s="32"/>
    </row>
    <row r="68" ht="16.5" spans="2:21">
      <c r="B68" s="30">
        <f t="shared" si="1"/>
        <v>66</v>
      </c>
      <c r="C68" s="30" t="s">
        <v>110</v>
      </c>
      <c r="D68" s="65" t="s">
        <v>86</v>
      </c>
      <c r="E68" s="32" t="s">
        <v>116</v>
      </c>
      <c r="F68" s="33"/>
      <c r="G68" s="66"/>
      <c r="H68" s="66">
        <v>46136</v>
      </c>
      <c r="I68" s="35" t="s">
        <v>153</v>
      </c>
      <c r="J68" s="36">
        <v>15000</v>
      </c>
      <c r="K68" s="37"/>
      <c r="L68" s="35"/>
      <c r="M68" s="32">
        <v>900</v>
      </c>
      <c r="N68" s="32"/>
      <c r="O68" s="38" t="s">
        <v>154</v>
      </c>
      <c r="P68" s="32"/>
      <c r="Q68" s="32"/>
      <c r="R68" s="67">
        <v>46226</v>
      </c>
      <c r="S68" s="53"/>
      <c r="T68" s="52"/>
      <c r="U68" s="32"/>
    </row>
    <row r="69" ht="16.5" spans="2:21">
      <c r="B69" s="30">
        <f t="shared" si="1"/>
        <v>67</v>
      </c>
      <c r="C69" s="30" t="s">
        <v>114</v>
      </c>
      <c r="D69" s="32" t="s">
        <v>81</v>
      </c>
      <c r="E69" s="32" t="s">
        <v>32</v>
      </c>
      <c r="F69" s="33">
        <v>46099</v>
      </c>
      <c r="G69" s="33">
        <v>46278</v>
      </c>
      <c r="H69" s="33"/>
      <c r="I69" s="35" t="s">
        <v>82</v>
      </c>
      <c r="J69" s="32">
        <v>35000</v>
      </c>
      <c r="K69" s="36"/>
      <c r="L69" s="35">
        <v>3519260520</v>
      </c>
      <c r="M69" s="32">
        <v>800</v>
      </c>
      <c r="N69" s="32">
        <f>J69*S69</f>
        <v>105</v>
      </c>
      <c r="O69" s="38"/>
      <c r="P69" s="32">
        <v>17</v>
      </c>
      <c r="Q69" s="32"/>
      <c r="R69" s="51">
        <v>46282</v>
      </c>
      <c r="S69" s="53">
        <v>0.003</v>
      </c>
      <c r="T69" s="52"/>
      <c r="U69" s="32"/>
    </row>
    <row r="70" ht="16.5" spans="2:21">
      <c r="B70" s="30">
        <f t="shared" si="1"/>
        <v>68</v>
      </c>
      <c r="C70" s="30" t="s">
        <v>110</v>
      </c>
      <c r="D70" s="31" t="s">
        <v>155</v>
      </c>
      <c r="E70" s="32" t="s">
        <v>32</v>
      </c>
      <c r="F70" s="33"/>
      <c r="G70" s="34">
        <v>46049</v>
      </c>
      <c r="H70" s="68">
        <v>46020</v>
      </c>
      <c r="I70" s="35" t="s">
        <v>156</v>
      </c>
      <c r="J70" s="36">
        <v>80000</v>
      </c>
      <c r="K70" s="37"/>
      <c r="L70" s="35"/>
      <c r="M70" s="32">
        <v>1900</v>
      </c>
      <c r="N70" s="32"/>
      <c r="O70" s="38"/>
      <c r="P70" s="32">
        <v>28</v>
      </c>
      <c r="Q70" s="32"/>
      <c r="R70" s="34">
        <v>46293</v>
      </c>
      <c r="S70" s="53"/>
      <c r="T70" s="52"/>
      <c r="U70" s="32"/>
    </row>
    <row r="71" ht="16.5" spans="2:21">
      <c r="B71" s="30">
        <f t="shared" si="1"/>
        <v>69</v>
      </c>
      <c r="C71" s="30" t="s">
        <v>114</v>
      </c>
      <c r="D71" s="32" t="s">
        <v>47</v>
      </c>
      <c r="E71" s="32" t="s">
        <v>32</v>
      </c>
      <c r="F71" s="33">
        <v>45953</v>
      </c>
      <c r="G71" s="33">
        <v>46132</v>
      </c>
      <c r="H71" s="69"/>
      <c r="I71" s="35" t="s">
        <v>75</v>
      </c>
      <c r="J71" s="32">
        <v>200000</v>
      </c>
      <c r="K71" s="36"/>
      <c r="L71" s="32">
        <v>3519260506</v>
      </c>
      <c r="M71" s="32">
        <f>100000*0.018+100000*0.015</f>
        <v>3300</v>
      </c>
      <c r="N71" s="32"/>
      <c r="O71" s="38"/>
      <c r="P71" s="32">
        <v>23</v>
      </c>
      <c r="Q71" s="32"/>
      <c r="R71" s="33">
        <v>46135</v>
      </c>
      <c r="S71" s="53">
        <v>0.018</v>
      </c>
      <c r="T71" s="52"/>
      <c r="U71" s="32" t="s">
        <v>30</v>
      </c>
    </row>
    <row r="72" ht="16.5" spans="2:21">
      <c r="B72" s="30">
        <f t="shared" si="1"/>
        <v>70</v>
      </c>
      <c r="C72" s="30" t="s">
        <v>114</v>
      </c>
      <c r="D72" s="32" t="s">
        <v>47</v>
      </c>
      <c r="E72" s="32" t="s">
        <v>32</v>
      </c>
      <c r="F72" s="33">
        <v>46223</v>
      </c>
      <c r="G72" s="33">
        <v>46402</v>
      </c>
      <c r="H72" s="69"/>
      <c r="I72" s="35" t="s">
        <v>75</v>
      </c>
      <c r="J72" s="32">
        <v>200000</v>
      </c>
      <c r="K72" s="36"/>
      <c r="L72" s="35">
        <v>3524019239</v>
      </c>
      <c r="M72" s="32">
        <f>J72*S72</f>
        <v>5000</v>
      </c>
      <c r="N72" s="32"/>
      <c r="O72" s="38"/>
      <c r="P72" s="32">
        <v>20</v>
      </c>
      <c r="Q72" s="32"/>
      <c r="R72" s="33">
        <v>46223</v>
      </c>
      <c r="S72" s="53">
        <v>0.025</v>
      </c>
      <c r="T72" s="52"/>
      <c r="U72" s="32"/>
    </row>
    <row r="73" ht="16.5" spans="2:21">
      <c r="B73" s="30">
        <f t="shared" si="1"/>
        <v>71</v>
      </c>
      <c r="C73" s="30" t="s">
        <v>110</v>
      </c>
      <c r="D73" s="31" t="s">
        <v>128</v>
      </c>
      <c r="E73" s="32" t="s">
        <v>32</v>
      </c>
      <c r="F73" s="33"/>
      <c r="G73" s="34">
        <v>46007</v>
      </c>
      <c r="H73" s="68">
        <v>45978</v>
      </c>
      <c r="I73" s="35" t="s">
        <v>75</v>
      </c>
      <c r="J73" s="36">
        <v>200000</v>
      </c>
      <c r="K73" s="37"/>
      <c r="L73" s="35"/>
      <c r="M73" s="32">
        <v>4000</v>
      </c>
      <c r="N73" s="32"/>
      <c r="O73" s="38"/>
      <c r="P73" s="32">
        <v>16</v>
      </c>
      <c r="Q73" s="32"/>
      <c r="R73" s="34">
        <v>46128</v>
      </c>
      <c r="S73" s="53"/>
      <c r="T73" s="52"/>
      <c r="U73" s="32"/>
    </row>
    <row r="74" ht="16.5" spans="2:21">
      <c r="B74" s="30">
        <f t="shared" si="1"/>
        <v>72</v>
      </c>
      <c r="C74" s="30" t="s">
        <v>110</v>
      </c>
      <c r="D74" s="31" t="s">
        <v>128</v>
      </c>
      <c r="E74" s="32" t="s">
        <v>32</v>
      </c>
      <c r="F74" s="33"/>
      <c r="G74" s="34"/>
      <c r="H74" s="68">
        <v>46021</v>
      </c>
      <c r="I74" s="35" t="s">
        <v>75</v>
      </c>
      <c r="J74" s="36">
        <v>200000</v>
      </c>
      <c r="K74" s="37"/>
      <c r="L74" s="35"/>
      <c r="M74" s="32">
        <v>4000</v>
      </c>
      <c r="N74" s="32"/>
      <c r="O74" s="38"/>
      <c r="P74" s="32">
        <v>28</v>
      </c>
      <c r="Q74" s="32"/>
      <c r="R74" s="34">
        <v>46140</v>
      </c>
      <c r="S74" s="53"/>
      <c r="T74" s="52"/>
      <c r="U74" s="32"/>
    </row>
    <row r="75" ht="16.5" spans="2:21">
      <c r="B75" s="30">
        <f t="shared" si="1"/>
        <v>73</v>
      </c>
      <c r="C75" s="30" t="s">
        <v>110</v>
      </c>
      <c r="D75" s="31" t="s">
        <v>128</v>
      </c>
      <c r="E75" s="32" t="s">
        <v>32</v>
      </c>
      <c r="F75" s="33"/>
      <c r="G75" s="34"/>
      <c r="H75" s="68">
        <v>46092</v>
      </c>
      <c r="I75" s="35" t="s">
        <v>75</v>
      </c>
      <c r="J75" s="36">
        <v>150000</v>
      </c>
      <c r="K75" s="37"/>
      <c r="L75" s="35"/>
      <c r="M75" s="32">
        <v>3000</v>
      </c>
      <c r="N75" s="32"/>
      <c r="O75" s="38"/>
      <c r="P75" s="32">
        <v>11</v>
      </c>
      <c r="Q75" s="32"/>
      <c r="R75" s="34">
        <v>46123</v>
      </c>
      <c r="S75" s="53"/>
      <c r="T75" s="52"/>
      <c r="U75" s="32"/>
    </row>
    <row r="76" ht="16.5" spans="2:21">
      <c r="B76" s="30">
        <f t="shared" si="1"/>
        <v>74</v>
      </c>
      <c r="C76" s="30" t="s">
        <v>110</v>
      </c>
      <c r="D76" s="31" t="s">
        <v>128</v>
      </c>
      <c r="E76" s="32" t="s">
        <v>32</v>
      </c>
      <c r="F76" s="33"/>
      <c r="G76" s="34"/>
      <c r="H76" s="68">
        <v>46093</v>
      </c>
      <c r="I76" s="35" t="s">
        <v>75</v>
      </c>
      <c r="J76" s="36">
        <v>150000</v>
      </c>
      <c r="K76" s="37"/>
      <c r="L76" s="35"/>
      <c r="M76" s="32">
        <v>3000</v>
      </c>
      <c r="N76" s="32"/>
      <c r="O76" s="38"/>
      <c r="P76" s="32">
        <v>12</v>
      </c>
      <c r="Q76" s="32"/>
      <c r="R76" s="34">
        <v>46124</v>
      </c>
      <c r="S76" s="53"/>
      <c r="T76" s="52"/>
      <c r="U76" s="32"/>
    </row>
    <row r="77" ht="16.5" spans="2:21">
      <c r="B77" s="30">
        <f t="shared" si="1"/>
        <v>75</v>
      </c>
      <c r="C77" s="30" t="s">
        <v>110</v>
      </c>
      <c r="D77" s="31" t="s">
        <v>157</v>
      </c>
      <c r="E77" s="32" t="s">
        <v>32</v>
      </c>
      <c r="F77" s="33"/>
      <c r="G77" s="34"/>
      <c r="H77" s="68">
        <v>46158</v>
      </c>
      <c r="I77" s="35" t="s">
        <v>75</v>
      </c>
      <c r="J77" s="36">
        <v>20000</v>
      </c>
      <c r="K77" s="37"/>
      <c r="L77" s="35"/>
      <c r="M77" s="32">
        <v>400</v>
      </c>
      <c r="N77" s="32"/>
      <c r="O77" s="38"/>
      <c r="P77" s="32">
        <v>15</v>
      </c>
      <c r="Q77" s="32"/>
      <c r="R77" s="34">
        <v>46280</v>
      </c>
      <c r="S77" s="53"/>
      <c r="T77" s="52"/>
      <c r="U77" s="32"/>
    </row>
    <row r="78" ht="16.5" spans="2:21">
      <c r="B78" s="30">
        <f t="shared" si="1"/>
        <v>76</v>
      </c>
      <c r="C78" s="30" t="s">
        <v>110</v>
      </c>
      <c r="D78" s="31" t="s">
        <v>157</v>
      </c>
      <c r="E78" s="32" t="s">
        <v>32</v>
      </c>
      <c r="F78" s="33"/>
      <c r="G78" s="34"/>
      <c r="H78" s="68">
        <v>46161</v>
      </c>
      <c r="I78" s="35" t="s">
        <v>75</v>
      </c>
      <c r="J78" s="36">
        <v>30000</v>
      </c>
      <c r="K78" s="37"/>
      <c r="L78" s="35"/>
      <c r="M78" s="32">
        <v>600</v>
      </c>
      <c r="N78" s="32"/>
      <c r="O78" s="38"/>
      <c r="P78" s="32">
        <v>19</v>
      </c>
      <c r="Q78" s="32"/>
      <c r="R78" s="34">
        <v>46284</v>
      </c>
      <c r="S78" s="53"/>
      <c r="T78" s="52"/>
      <c r="U78" s="32"/>
    </row>
    <row r="79" ht="16.5" spans="2:21">
      <c r="B79" s="30">
        <f t="shared" si="1"/>
        <v>77</v>
      </c>
      <c r="C79" s="30" t="s">
        <v>110</v>
      </c>
      <c r="D79" s="31" t="s">
        <v>157</v>
      </c>
      <c r="E79" s="32" t="s">
        <v>32</v>
      </c>
      <c r="F79" s="33"/>
      <c r="G79" s="34"/>
      <c r="H79" s="68">
        <v>46197</v>
      </c>
      <c r="I79" s="35" t="s">
        <v>75</v>
      </c>
      <c r="J79" s="36">
        <v>50000</v>
      </c>
      <c r="K79" s="37"/>
      <c r="L79" s="35"/>
      <c r="M79" s="32">
        <v>1250</v>
      </c>
      <c r="N79" s="32"/>
      <c r="O79" s="38"/>
      <c r="P79" s="32">
        <v>23</v>
      </c>
      <c r="Q79" s="32"/>
      <c r="R79" s="34">
        <v>46288</v>
      </c>
      <c r="S79" s="53"/>
      <c r="T79" s="52"/>
      <c r="U79" s="32"/>
    </row>
    <row r="80" ht="16.5" spans="2:21">
      <c r="B80" s="30">
        <f t="shared" si="1"/>
        <v>78</v>
      </c>
      <c r="C80" s="30" t="s">
        <v>110</v>
      </c>
      <c r="D80" s="31" t="s">
        <v>157</v>
      </c>
      <c r="E80" s="32" t="s">
        <v>32</v>
      </c>
      <c r="F80" s="33"/>
      <c r="G80" s="34"/>
      <c r="H80" s="68">
        <v>46223</v>
      </c>
      <c r="I80" s="35" t="s">
        <v>75</v>
      </c>
      <c r="J80" s="36">
        <v>50000</v>
      </c>
      <c r="K80" s="37"/>
      <c r="L80" s="35"/>
      <c r="M80" s="32">
        <v>1250</v>
      </c>
      <c r="N80" s="32"/>
      <c r="O80" s="38"/>
      <c r="P80" s="32">
        <v>20</v>
      </c>
      <c r="Q80" s="32"/>
      <c r="R80" s="34">
        <v>46285</v>
      </c>
      <c r="S80" s="53"/>
      <c r="T80" s="52"/>
      <c r="U80" s="32"/>
    </row>
    <row r="81" ht="16.5" spans="2:21">
      <c r="B81" s="30">
        <f t="shared" si="1"/>
        <v>79</v>
      </c>
      <c r="C81" s="30" t="s">
        <v>110</v>
      </c>
      <c r="D81" s="31" t="s">
        <v>157</v>
      </c>
      <c r="E81" s="32" t="s">
        <v>32</v>
      </c>
      <c r="F81" s="33"/>
      <c r="G81" s="34"/>
      <c r="H81" s="68">
        <v>46254</v>
      </c>
      <c r="I81" s="35" t="s">
        <v>75</v>
      </c>
      <c r="J81" s="36">
        <v>50000</v>
      </c>
      <c r="K81" s="37"/>
      <c r="L81" s="35"/>
      <c r="M81" s="32">
        <v>1250</v>
      </c>
      <c r="N81" s="32"/>
      <c r="O81" s="38"/>
      <c r="P81" s="32">
        <v>20</v>
      </c>
      <c r="Q81" s="32"/>
      <c r="R81" s="34">
        <v>46285</v>
      </c>
      <c r="S81" s="53"/>
      <c r="T81" s="52"/>
      <c r="U81" s="32"/>
    </row>
    <row r="82" ht="16.5" spans="2:21">
      <c r="B82" s="30">
        <f t="shared" si="1"/>
        <v>80</v>
      </c>
      <c r="C82" s="30" t="s">
        <v>110</v>
      </c>
      <c r="D82" s="31" t="s">
        <v>157</v>
      </c>
      <c r="E82" s="32" t="s">
        <v>32</v>
      </c>
      <c r="F82" s="33"/>
      <c r="G82" s="34"/>
      <c r="H82" s="68">
        <v>46258</v>
      </c>
      <c r="I82" s="35" t="s">
        <v>75</v>
      </c>
      <c r="J82" s="36">
        <v>30000</v>
      </c>
      <c r="K82" s="37"/>
      <c r="L82" s="35"/>
      <c r="M82" s="32">
        <v>750</v>
      </c>
      <c r="N82" s="32"/>
      <c r="O82" s="38"/>
      <c r="P82" s="32">
        <v>24</v>
      </c>
      <c r="Q82" s="32"/>
      <c r="R82" s="34">
        <v>46289</v>
      </c>
      <c r="S82" s="53"/>
      <c r="T82" s="52"/>
      <c r="U82" s="32"/>
    </row>
    <row r="83" ht="16.5" spans="2:21">
      <c r="B83" s="30">
        <f t="shared" si="1"/>
        <v>81</v>
      </c>
      <c r="C83" s="30" t="s">
        <v>110</v>
      </c>
      <c r="D83" s="31" t="s">
        <v>157</v>
      </c>
      <c r="E83" s="32" t="s">
        <v>32</v>
      </c>
      <c r="F83" s="33"/>
      <c r="G83" s="34"/>
      <c r="H83" s="68">
        <v>46269</v>
      </c>
      <c r="I83" s="35" t="s">
        <v>75</v>
      </c>
      <c r="J83" s="36">
        <v>60000</v>
      </c>
      <c r="K83" s="37"/>
      <c r="L83" s="35"/>
      <c r="M83" s="32">
        <v>1500</v>
      </c>
      <c r="N83" s="32"/>
      <c r="O83" s="38"/>
      <c r="P83" s="32">
        <v>4</v>
      </c>
      <c r="Q83" s="32"/>
      <c r="R83" s="34">
        <v>46269</v>
      </c>
      <c r="S83" s="53"/>
      <c r="T83" s="52"/>
      <c r="U83" s="32"/>
    </row>
    <row r="84" ht="16.5" spans="2:21">
      <c r="B84" s="30">
        <f t="shared" si="1"/>
        <v>82</v>
      </c>
      <c r="C84" s="30" t="s">
        <v>110</v>
      </c>
      <c r="D84" s="31" t="s">
        <v>158</v>
      </c>
      <c r="E84" s="32" t="s">
        <v>32</v>
      </c>
      <c r="F84" s="33"/>
      <c r="G84" s="34">
        <v>45906</v>
      </c>
      <c r="H84" s="34">
        <v>45877</v>
      </c>
      <c r="I84" s="35" t="s">
        <v>159</v>
      </c>
      <c r="J84" s="36">
        <v>9000</v>
      </c>
      <c r="K84" s="37"/>
      <c r="L84" s="35"/>
      <c r="M84" s="32">
        <v>230</v>
      </c>
      <c r="N84" s="32"/>
      <c r="O84" s="38"/>
      <c r="P84" s="32">
        <v>7</v>
      </c>
      <c r="Q84" s="32"/>
      <c r="R84" s="34">
        <v>46272</v>
      </c>
      <c r="S84" s="53"/>
      <c r="T84" s="52"/>
      <c r="U84" s="32"/>
    </row>
    <row r="85" ht="16.5" spans="2:21">
      <c r="B85" s="30">
        <f t="shared" si="1"/>
        <v>83</v>
      </c>
      <c r="C85" s="30" t="s">
        <v>114</v>
      </c>
      <c r="D85" s="32" t="s">
        <v>47</v>
      </c>
      <c r="E85" s="32" t="s">
        <v>32</v>
      </c>
      <c r="F85" s="33">
        <v>46037</v>
      </c>
      <c r="G85" s="33">
        <v>46096</v>
      </c>
      <c r="H85" s="33"/>
      <c r="I85" s="35" t="s">
        <v>79</v>
      </c>
      <c r="J85" s="32">
        <v>100000</v>
      </c>
      <c r="K85" s="36"/>
      <c r="L85" s="35">
        <v>3519260512</v>
      </c>
      <c r="M85" s="32">
        <f>J85*0.025</f>
        <v>2500</v>
      </c>
      <c r="N85" s="32"/>
      <c r="O85" s="38"/>
      <c r="P85" s="32">
        <v>15</v>
      </c>
      <c r="Q85" s="32"/>
      <c r="R85" s="33">
        <v>46280</v>
      </c>
      <c r="S85" s="53">
        <v>0.025</v>
      </c>
      <c r="T85" s="52"/>
      <c r="U85" s="32"/>
    </row>
    <row r="86" ht="16.5" spans="2:21">
      <c r="B86" s="30">
        <f t="shared" si="1"/>
        <v>84</v>
      </c>
      <c r="C86" s="30" t="s">
        <v>114</v>
      </c>
      <c r="D86" s="32" t="s">
        <v>47</v>
      </c>
      <c r="E86" s="32" t="s">
        <v>43</v>
      </c>
      <c r="F86" s="33">
        <v>45132</v>
      </c>
      <c r="G86" s="33"/>
      <c r="H86" s="33">
        <v>45255</v>
      </c>
      <c r="I86" s="32" t="s">
        <v>49</v>
      </c>
      <c r="J86" s="54">
        <v>20000</v>
      </c>
      <c r="K86" s="54"/>
      <c r="L86" s="32"/>
      <c r="M86" s="32">
        <v>500</v>
      </c>
      <c r="N86" s="32"/>
      <c r="O86" s="38"/>
      <c r="P86" s="32">
        <v>22</v>
      </c>
      <c r="Q86" s="32"/>
      <c r="R86" s="33">
        <v>45404</v>
      </c>
      <c r="S86" s="53">
        <v>0.03</v>
      </c>
      <c r="T86" s="52">
        <v>500</v>
      </c>
      <c r="U86" s="32" t="s">
        <v>30</v>
      </c>
    </row>
    <row r="87" ht="16.5" spans="2:21">
      <c r="B87" s="30">
        <f t="shared" si="1"/>
        <v>85</v>
      </c>
      <c r="C87" s="30" t="s">
        <v>110</v>
      </c>
      <c r="D87" s="31" t="s">
        <v>81</v>
      </c>
      <c r="E87" s="32" t="s">
        <v>32</v>
      </c>
      <c r="F87" s="33"/>
      <c r="G87" s="34">
        <v>45707</v>
      </c>
      <c r="H87" s="34">
        <v>45678</v>
      </c>
      <c r="I87" s="35" t="s">
        <v>160</v>
      </c>
      <c r="J87" s="36">
        <v>33000</v>
      </c>
      <c r="K87" s="37"/>
      <c r="L87" s="35"/>
      <c r="M87" s="32">
        <v>825</v>
      </c>
      <c r="N87" s="32"/>
      <c r="O87" s="38"/>
      <c r="P87" s="32">
        <v>19</v>
      </c>
      <c r="Q87" s="32"/>
      <c r="R87" s="34">
        <v>46284</v>
      </c>
      <c r="S87" s="53"/>
      <c r="T87" s="52"/>
      <c r="U87" s="32"/>
    </row>
    <row r="88" ht="16.5" spans="2:21">
      <c r="B88" s="30">
        <f t="shared" si="1"/>
        <v>86</v>
      </c>
      <c r="C88" s="30" t="s">
        <v>110</v>
      </c>
      <c r="D88" s="31" t="s">
        <v>128</v>
      </c>
      <c r="E88" s="32" t="s">
        <v>145</v>
      </c>
      <c r="F88" s="33"/>
      <c r="G88" s="55">
        <v>45244</v>
      </c>
      <c r="H88" s="55">
        <v>45225</v>
      </c>
      <c r="I88" s="35" t="s">
        <v>161</v>
      </c>
      <c r="J88" s="36">
        <v>150000</v>
      </c>
      <c r="K88" s="37"/>
      <c r="L88" s="35"/>
      <c r="M88" s="32"/>
      <c r="N88" s="32"/>
      <c r="O88" s="38"/>
      <c r="P88" s="32"/>
      <c r="Q88" s="32"/>
      <c r="R88" s="55"/>
      <c r="S88" s="53"/>
      <c r="T88" s="52"/>
      <c r="U88" s="32"/>
    </row>
    <row r="89" ht="16.5" spans="2:21">
      <c r="B89" s="30">
        <f t="shared" si="1"/>
        <v>87</v>
      </c>
      <c r="C89" s="30" t="s">
        <v>110</v>
      </c>
      <c r="D89" s="31" t="s">
        <v>128</v>
      </c>
      <c r="E89" s="32" t="s">
        <v>145</v>
      </c>
      <c r="F89" s="33"/>
      <c r="G89" s="34"/>
      <c r="H89" s="34">
        <v>45391</v>
      </c>
      <c r="I89" s="35" t="s">
        <v>162</v>
      </c>
      <c r="J89" s="36">
        <v>20000</v>
      </c>
      <c r="K89" s="37"/>
      <c r="L89" s="35"/>
      <c r="M89" s="32"/>
      <c r="N89" s="32"/>
      <c r="O89" s="38"/>
      <c r="P89" s="32"/>
      <c r="Q89" s="32"/>
      <c r="R89" s="34"/>
      <c r="S89" s="53"/>
      <c r="T89" s="52"/>
      <c r="U89" s="32"/>
    </row>
    <row r="90" ht="16.5" spans="2:21">
      <c r="B90" s="30">
        <f t="shared" si="1"/>
        <v>88</v>
      </c>
      <c r="C90" s="30" t="s">
        <v>114</v>
      </c>
      <c r="D90" s="32" t="s">
        <v>81</v>
      </c>
      <c r="E90" s="32" t="s">
        <v>32</v>
      </c>
      <c r="F90" s="33">
        <v>46266</v>
      </c>
      <c r="G90" s="33">
        <v>46445</v>
      </c>
      <c r="H90" s="33"/>
      <c r="I90" s="35" t="s">
        <v>99</v>
      </c>
      <c r="J90" s="32">
        <v>90000</v>
      </c>
      <c r="K90" s="36"/>
      <c r="L90" s="35">
        <v>3524019246</v>
      </c>
      <c r="M90" s="32">
        <v>1350</v>
      </c>
      <c r="N90" s="32">
        <f>J90*S90</f>
        <v>270</v>
      </c>
      <c r="O90" s="38"/>
      <c r="P90" s="32">
        <v>1</v>
      </c>
      <c r="Q90" s="32"/>
      <c r="R90" s="33">
        <v>46266</v>
      </c>
      <c r="S90" s="53">
        <v>0.003</v>
      </c>
      <c r="T90" s="52"/>
      <c r="U90" s="32"/>
    </row>
    <row r="91" ht="16.5" spans="2:21">
      <c r="B91" s="30">
        <f t="shared" si="1"/>
        <v>89</v>
      </c>
      <c r="C91" s="30" t="s">
        <v>114</v>
      </c>
      <c r="D91" s="32" t="s">
        <v>47</v>
      </c>
      <c r="E91" s="32" t="s">
        <v>32</v>
      </c>
      <c r="F91" s="33">
        <v>46111</v>
      </c>
      <c r="G91" s="33">
        <v>46290</v>
      </c>
      <c r="H91" s="33"/>
      <c r="I91" s="35" t="s">
        <v>83</v>
      </c>
      <c r="J91" s="32">
        <f>230000-130000</f>
        <v>100000</v>
      </c>
      <c r="K91" s="36"/>
      <c r="L91" s="35">
        <v>3519260522</v>
      </c>
      <c r="M91" s="32">
        <f>J91*0.02</f>
        <v>2000</v>
      </c>
      <c r="N91" s="32"/>
      <c r="O91" s="38" t="s">
        <v>163</v>
      </c>
      <c r="P91" s="32">
        <v>29</v>
      </c>
      <c r="Q91" s="32"/>
      <c r="R91" s="33">
        <v>46294</v>
      </c>
      <c r="S91" s="53">
        <v>0.02</v>
      </c>
      <c r="T91" s="52"/>
      <c r="U91" s="32"/>
    </row>
    <row r="92" ht="16.5" spans="2:21">
      <c r="B92" s="30">
        <f t="shared" si="1"/>
        <v>90</v>
      </c>
      <c r="C92" s="30" t="s">
        <v>114</v>
      </c>
      <c r="D92" s="32" t="s">
        <v>47</v>
      </c>
      <c r="E92" s="32" t="s">
        <v>32</v>
      </c>
      <c r="F92" s="33">
        <v>46163</v>
      </c>
      <c r="G92" s="33">
        <v>46252</v>
      </c>
      <c r="H92" s="33"/>
      <c r="I92" s="35" t="s">
        <v>83</v>
      </c>
      <c r="J92" s="32">
        <v>50000</v>
      </c>
      <c r="K92" s="36"/>
      <c r="L92" s="35">
        <v>3524019227</v>
      </c>
      <c r="M92" s="32">
        <f>J92*S92</f>
        <v>1000</v>
      </c>
      <c r="N92" s="32"/>
      <c r="O92" s="38" t="s">
        <v>163</v>
      </c>
      <c r="P92" s="32">
        <v>20</v>
      </c>
      <c r="Q92" s="32"/>
      <c r="R92" s="33">
        <v>46285</v>
      </c>
      <c r="S92" s="53">
        <v>0.02</v>
      </c>
      <c r="T92" s="52"/>
      <c r="U92" s="32"/>
    </row>
    <row r="93" ht="16.5" spans="2:21">
      <c r="B93" s="30">
        <f t="shared" si="1"/>
        <v>91</v>
      </c>
      <c r="C93" s="30" t="s">
        <v>110</v>
      </c>
      <c r="D93" s="31" t="s">
        <v>128</v>
      </c>
      <c r="E93" s="32" t="s">
        <v>145</v>
      </c>
      <c r="F93" s="33"/>
      <c r="G93" s="34">
        <v>45544</v>
      </c>
      <c r="H93" s="34">
        <v>45540</v>
      </c>
      <c r="I93" s="35" t="s">
        <v>164</v>
      </c>
      <c r="J93" s="36">
        <v>20000</v>
      </c>
      <c r="K93" s="37"/>
      <c r="L93" s="35"/>
      <c r="M93" s="32"/>
      <c r="N93" s="32"/>
      <c r="O93" s="38"/>
      <c r="P93" s="32"/>
      <c r="Q93" s="32"/>
      <c r="R93" s="34"/>
      <c r="S93" s="53"/>
      <c r="T93" s="52"/>
      <c r="U93" s="32"/>
    </row>
    <row r="94" ht="16.5" spans="2:21">
      <c r="B94" s="30">
        <f t="shared" si="1"/>
        <v>92</v>
      </c>
      <c r="C94" s="30" t="s">
        <v>110</v>
      </c>
      <c r="D94" s="31" t="s">
        <v>81</v>
      </c>
      <c r="E94" s="32" t="s">
        <v>32</v>
      </c>
      <c r="F94" s="33"/>
      <c r="G94" s="34"/>
      <c r="H94" s="34">
        <v>46172</v>
      </c>
      <c r="I94" s="35" t="s">
        <v>165</v>
      </c>
      <c r="J94" s="36">
        <v>85000</v>
      </c>
      <c r="K94" s="37"/>
      <c r="L94" s="35"/>
      <c r="M94" s="32">
        <v>1275</v>
      </c>
      <c r="N94" s="32"/>
      <c r="O94" s="38"/>
      <c r="P94" s="32">
        <v>29</v>
      </c>
      <c r="Q94" s="32"/>
      <c r="R94" s="34">
        <v>46294</v>
      </c>
      <c r="S94" s="53"/>
      <c r="T94" s="52"/>
      <c r="U94" s="32"/>
    </row>
    <row r="95" ht="16.5" spans="2:21">
      <c r="B95" s="30">
        <f t="shared" si="1"/>
        <v>93</v>
      </c>
      <c r="C95" s="30" t="s">
        <v>110</v>
      </c>
      <c r="D95" s="31" t="s">
        <v>81</v>
      </c>
      <c r="E95" s="32" t="s">
        <v>32</v>
      </c>
      <c r="F95" s="33"/>
      <c r="G95" s="34"/>
      <c r="H95" s="34">
        <v>46216</v>
      </c>
      <c r="I95" s="35" t="s">
        <v>165</v>
      </c>
      <c r="J95" s="36">
        <v>55000</v>
      </c>
      <c r="K95" s="37"/>
      <c r="L95" s="35"/>
      <c r="M95" s="32">
        <v>825</v>
      </c>
      <c r="N95" s="32"/>
      <c r="O95" s="38"/>
      <c r="P95" s="32">
        <v>13</v>
      </c>
      <c r="Q95" s="32"/>
      <c r="R95" s="34">
        <v>46278</v>
      </c>
      <c r="S95" s="53"/>
      <c r="T95" s="52"/>
      <c r="U95" s="32"/>
    </row>
    <row r="96" ht="16.5" spans="2:21">
      <c r="B96" s="30">
        <f t="shared" si="1"/>
        <v>94</v>
      </c>
      <c r="C96" s="30" t="s">
        <v>110</v>
      </c>
      <c r="D96" s="31" t="s">
        <v>86</v>
      </c>
      <c r="E96" s="32" t="s">
        <v>32</v>
      </c>
      <c r="F96" s="33"/>
      <c r="G96" s="34"/>
      <c r="H96" s="34">
        <v>46248</v>
      </c>
      <c r="I96" s="35" t="s">
        <v>165</v>
      </c>
      <c r="J96" s="36">
        <v>80000</v>
      </c>
      <c r="K96" s="37"/>
      <c r="L96" s="35"/>
      <c r="M96" s="32">
        <v>1700</v>
      </c>
      <c r="N96" s="32"/>
      <c r="O96" s="38"/>
      <c r="P96" s="32">
        <v>13</v>
      </c>
      <c r="Q96" s="32"/>
      <c r="R96" s="34">
        <v>46278</v>
      </c>
      <c r="S96" s="53"/>
      <c r="T96" s="52"/>
      <c r="U96" s="32"/>
    </row>
    <row r="97" ht="16.5" spans="2:21">
      <c r="B97" s="30">
        <f t="shared" si="1"/>
        <v>95</v>
      </c>
      <c r="C97" s="30" t="s">
        <v>110</v>
      </c>
      <c r="D97" s="31" t="s">
        <v>128</v>
      </c>
      <c r="E97" s="32" t="s">
        <v>32</v>
      </c>
      <c r="F97" s="33"/>
      <c r="G97" s="34">
        <v>46211</v>
      </c>
      <c r="H97" s="34">
        <v>46030</v>
      </c>
      <c r="I97" s="35" t="s">
        <v>166</v>
      </c>
      <c r="J97" s="36">
        <v>20000</v>
      </c>
      <c r="K97" s="37"/>
      <c r="L97" s="35"/>
      <c r="M97" s="32">
        <v>300</v>
      </c>
      <c r="N97" s="32"/>
      <c r="O97" s="38"/>
      <c r="P97" s="32">
        <v>8</v>
      </c>
      <c r="Q97" s="32"/>
      <c r="R97" s="34">
        <v>46273</v>
      </c>
      <c r="S97" s="53"/>
      <c r="T97" s="52"/>
      <c r="U97" s="32"/>
    </row>
    <row r="98" ht="16.5" spans="2:21">
      <c r="B98" s="30">
        <f t="shared" si="1"/>
        <v>96</v>
      </c>
      <c r="C98" s="30" t="s">
        <v>114</v>
      </c>
      <c r="D98" s="32" t="s">
        <v>47</v>
      </c>
      <c r="E98" s="32" t="s">
        <v>43</v>
      </c>
      <c r="F98" s="33">
        <v>45132</v>
      </c>
      <c r="G98" s="33"/>
      <c r="H98" s="33">
        <v>45255</v>
      </c>
      <c r="I98" s="32" t="s">
        <v>50</v>
      </c>
      <c r="J98" s="54">
        <v>60000</v>
      </c>
      <c r="K98" s="54"/>
      <c r="L98" s="32"/>
      <c r="M98" s="32">
        <v>1800</v>
      </c>
      <c r="N98" s="32"/>
      <c r="O98" s="38"/>
      <c r="P98" s="32">
        <v>22</v>
      </c>
      <c r="Q98" s="32"/>
      <c r="R98" s="33">
        <v>45404</v>
      </c>
      <c r="S98" s="53">
        <v>0.03</v>
      </c>
      <c r="T98" s="52">
        <v>1500</v>
      </c>
      <c r="U98" s="32" t="s">
        <v>30</v>
      </c>
    </row>
    <row r="99" ht="16.5" spans="2:21">
      <c r="B99" s="30">
        <f t="shared" si="1"/>
        <v>97</v>
      </c>
      <c r="C99" s="30" t="s">
        <v>110</v>
      </c>
      <c r="D99" s="31" t="s">
        <v>81</v>
      </c>
      <c r="E99" s="32" t="s">
        <v>32</v>
      </c>
      <c r="F99" s="33"/>
      <c r="G99" s="34">
        <v>45682</v>
      </c>
      <c r="H99" s="34">
        <v>45653</v>
      </c>
      <c r="I99" s="35" t="s">
        <v>167</v>
      </c>
      <c r="J99" s="36">
        <v>3500</v>
      </c>
      <c r="K99" s="37"/>
      <c r="L99" s="35"/>
      <c r="M99" s="32">
        <v>100</v>
      </c>
      <c r="N99" s="32"/>
      <c r="O99" s="38"/>
      <c r="P99" s="32">
        <v>24</v>
      </c>
      <c r="Q99" s="32"/>
      <c r="R99" s="34">
        <v>46289</v>
      </c>
      <c r="S99" s="53"/>
      <c r="T99" s="52"/>
      <c r="U99" s="32"/>
    </row>
    <row r="100" s="14" customFormat="1" ht="16.5" spans="2:21">
      <c r="B100" s="70">
        <f t="shared" si="1"/>
        <v>98</v>
      </c>
      <c r="C100" s="70" t="s">
        <v>110</v>
      </c>
      <c r="D100" s="71" t="s">
        <v>124</v>
      </c>
      <c r="E100" s="72"/>
      <c r="F100" s="73"/>
      <c r="G100" s="74">
        <v>46148</v>
      </c>
      <c r="H100" s="74">
        <v>46119</v>
      </c>
      <c r="I100" s="75" t="s">
        <v>168</v>
      </c>
      <c r="J100" s="76">
        <v>500000</v>
      </c>
      <c r="K100" s="77"/>
      <c r="L100" s="75"/>
      <c r="M100" s="72">
        <v>4500</v>
      </c>
      <c r="N100" s="72"/>
      <c r="O100" s="78"/>
      <c r="P100" s="72">
        <v>6</v>
      </c>
      <c r="Q100" s="72"/>
      <c r="R100" s="74">
        <v>46209</v>
      </c>
      <c r="S100" s="79"/>
      <c r="T100" s="80"/>
      <c r="U100" s="72"/>
    </row>
    <row r="101" ht="16.5" spans="2:21">
      <c r="B101" s="30">
        <f t="shared" si="1"/>
        <v>99</v>
      </c>
      <c r="C101" s="30" t="s">
        <v>110</v>
      </c>
      <c r="D101" s="31" t="s">
        <v>128</v>
      </c>
      <c r="E101" s="32" t="s">
        <v>145</v>
      </c>
      <c r="F101" s="33"/>
      <c r="G101" s="55"/>
      <c r="H101" s="55">
        <v>44504</v>
      </c>
      <c r="I101" s="35" t="s">
        <v>169</v>
      </c>
      <c r="J101" s="36">
        <v>125000</v>
      </c>
      <c r="K101" s="36"/>
      <c r="L101" s="35"/>
      <c r="M101" s="32"/>
      <c r="N101" s="32"/>
      <c r="O101" s="59" t="s">
        <v>145</v>
      </c>
      <c r="P101" s="32"/>
      <c r="Q101" s="32"/>
      <c r="R101" s="55"/>
      <c r="S101" s="53"/>
      <c r="T101" s="52"/>
      <c r="U101" s="32"/>
    </row>
    <row r="102" ht="16.5" spans="2:21">
      <c r="B102" s="30">
        <f t="shared" si="1"/>
        <v>100</v>
      </c>
      <c r="C102" s="30" t="s">
        <v>110</v>
      </c>
      <c r="D102" s="31" t="s">
        <v>128</v>
      </c>
      <c r="E102" s="32" t="s">
        <v>145</v>
      </c>
      <c r="F102" s="33"/>
      <c r="G102" s="55"/>
      <c r="H102" s="55">
        <v>45070</v>
      </c>
      <c r="I102" s="35" t="s">
        <v>170</v>
      </c>
      <c r="J102" s="36">
        <v>150000</v>
      </c>
      <c r="K102" s="37"/>
      <c r="L102" s="35"/>
      <c r="M102" s="32"/>
      <c r="N102" s="32"/>
      <c r="O102" s="59" t="s">
        <v>145</v>
      </c>
      <c r="P102" s="32"/>
      <c r="Q102" s="32"/>
      <c r="R102" s="55"/>
      <c r="S102" s="53"/>
      <c r="T102" s="52"/>
      <c r="U102" s="32"/>
    </row>
    <row r="103" ht="16.5" spans="2:21">
      <c r="B103" s="30">
        <f t="shared" si="1"/>
        <v>101</v>
      </c>
      <c r="C103" s="30" t="s">
        <v>110</v>
      </c>
      <c r="D103" s="31" t="s">
        <v>128</v>
      </c>
      <c r="E103" s="32" t="s">
        <v>145</v>
      </c>
      <c r="F103" s="33"/>
      <c r="G103" s="34"/>
      <c r="H103" s="34">
        <v>45534</v>
      </c>
      <c r="I103" s="35" t="s">
        <v>170</v>
      </c>
      <c r="J103" s="36">
        <v>250000</v>
      </c>
      <c r="K103" s="37"/>
      <c r="L103" s="35"/>
      <c r="M103" s="32"/>
      <c r="N103" s="32"/>
      <c r="O103" s="38" t="s">
        <v>145</v>
      </c>
      <c r="P103" s="32"/>
      <c r="Q103" s="32"/>
      <c r="R103" s="34"/>
      <c r="S103" s="53"/>
      <c r="T103" s="52"/>
      <c r="U103" s="32"/>
    </row>
    <row r="104" ht="16.5" spans="2:21">
      <c r="B104" s="30">
        <f t="shared" si="1"/>
        <v>102</v>
      </c>
      <c r="C104" s="30" t="s">
        <v>110</v>
      </c>
      <c r="D104" s="31" t="s">
        <v>171</v>
      </c>
      <c r="E104" s="32" t="s">
        <v>32</v>
      </c>
      <c r="F104" s="33"/>
      <c r="G104" s="34">
        <v>46317</v>
      </c>
      <c r="H104" s="34">
        <v>46227</v>
      </c>
      <c r="I104" s="35" t="s">
        <v>172</v>
      </c>
      <c r="J104" s="36">
        <v>100000</v>
      </c>
      <c r="K104" s="37"/>
      <c r="L104" s="35"/>
      <c r="M104" s="32">
        <v>3000</v>
      </c>
      <c r="N104" s="32"/>
      <c r="O104" s="38"/>
      <c r="P104" s="32">
        <v>23</v>
      </c>
      <c r="Q104" s="32"/>
      <c r="R104" s="34">
        <v>46288</v>
      </c>
      <c r="S104" s="53"/>
      <c r="T104" s="52"/>
      <c r="U104" s="32"/>
    </row>
    <row r="105" ht="16.5" spans="2:21">
      <c r="B105" s="30">
        <f t="shared" si="1"/>
        <v>103</v>
      </c>
      <c r="C105" s="30" t="s">
        <v>110</v>
      </c>
      <c r="D105" s="31" t="s">
        <v>171</v>
      </c>
      <c r="E105" s="32" t="s">
        <v>32</v>
      </c>
      <c r="F105" s="33"/>
      <c r="G105" s="34">
        <v>45993</v>
      </c>
      <c r="H105" s="34">
        <v>45964</v>
      </c>
      <c r="I105" s="35" t="s">
        <v>173</v>
      </c>
      <c r="J105" s="36">
        <v>70000</v>
      </c>
      <c r="K105" s="37"/>
      <c r="L105" s="35"/>
      <c r="M105" s="32">
        <v>2250</v>
      </c>
      <c r="N105" s="32"/>
      <c r="O105" s="38"/>
      <c r="P105" s="32">
        <v>3</v>
      </c>
      <c r="Q105" s="32"/>
      <c r="R105" s="34">
        <v>46268</v>
      </c>
      <c r="S105" s="53"/>
      <c r="T105" s="52"/>
      <c r="U105" s="32"/>
    </row>
    <row r="106" ht="16.5" spans="2:21">
      <c r="B106" s="30">
        <f t="shared" si="1"/>
        <v>104</v>
      </c>
      <c r="C106" s="30" t="s">
        <v>110</v>
      </c>
      <c r="D106" s="31" t="s">
        <v>128</v>
      </c>
      <c r="E106" s="32" t="s">
        <v>145</v>
      </c>
      <c r="F106" s="33"/>
      <c r="G106" s="55"/>
      <c r="H106" s="55">
        <v>43924</v>
      </c>
      <c r="I106" s="35" t="s">
        <v>174</v>
      </c>
      <c r="J106" s="36">
        <v>30000</v>
      </c>
      <c r="K106" s="36"/>
      <c r="L106" s="35"/>
      <c r="M106" s="32"/>
      <c r="N106" s="32"/>
      <c r="O106" s="38" t="s">
        <v>145</v>
      </c>
      <c r="P106" s="32"/>
      <c r="Q106" s="32"/>
      <c r="R106" s="55"/>
      <c r="S106" s="53"/>
      <c r="T106" s="52"/>
      <c r="U106" s="32"/>
    </row>
    <row r="107" ht="16.5" spans="2:21">
      <c r="B107" s="30">
        <f t="shared" si="1"/>
        <v>105</v>
      </c>
      <c r="C107" s="30" t="s">
        <v>114</v>
      </c>
      <c r="D107" s="32" t="s">
        <v>47</v>
      </c>
      <c r="E107" s="32" t="s">
        <v>32</v>
      </c>
      <c r="F107" s="33">
        <v>44485</v>
      </c>
      <c r="G107" s="33"/>
      <c r="H107" s="33">
        <v>45250</v>
      </c>
      <c r="I107" s="32" t="s">
        <v>35</v>
      </c>
      <c r="J107" s="54">
        <f>50000-10000</f>
        <v>40000</v>
      </c>
      <c r="K107" s="36"/>
      <c r="L107" s="32">
        <v>3519121360</v>
      </c>
      <c r="M107" s="32">
        <v>1000</v>
      </c>
      <c r="N107" s="32"/>
      <c r="O107" s="38"/>
      <c r="P107" s="32">
        <v>14</v>
      </c>
      <c r="Q107" s="32"/>
      <c r="R107" s="33">
        <v>46279</v>
      </c>
      <c r="S107" s="53">
        <v>0.025</v>
      </c>
      <c r="T107" s="52">
        <v>1250</v>
      </c>
      <c r="U107" s="32" t="s">
        <v>30</v>
      </c>
    </row>
    <row r="108" ht="16.5" spans="2:21">
      <c r="B108" s="30">
        <f t="shared" si="1"/>
        <v>106</v>
      </c>
      <c r="C108" s="30" t="s">
        <v>110</v>
      </c>
      <c r="D108" s="31" t="s">
        <v>128</v>
      </c>
      <c r="E108" s="32" t="s">
        <v>32</v>
      </c>
      <c r="F108" s="33"/>
      <c r="G108" s="55"/>
      <c r="H108" s="55">
        <v>44362</v>
      </c>
      <c r="I108" s="35" t="s">
        <v>35</v>
      </c>
      <c r="J108" s="36">
        <v>5000</v>
      </c>
      <c r="K108" s="56"/>
      <c r="L108" s="35"/>
      <c r="M108" s="32">
        <v>125</v>
      </c>
      <c r="N108" s="32"/>
      <c r="O108" s="38"/>
      <c r="P108" s="32">
        <v>14</v>
      </c>
      <c r="Q108" s="32"/>
      <c r="R108" s="55">
        <v>46126</v>
      </c>
      <c r="S108" s="53"/>
      <c r="T108" s="52"/>
      <c r="U108" s="32"/>
    </row>
    <row r="109" ht="16.5" spans="2:21">
      <c r="B109" s="30">
        <f t="shared" si="1"/>
        <v>107</v>
      </c>
      <c r="C109" s="30" t="s">
        <v>114</v>
      </c>
      <c r="D109" s="32" t="s">
        <v>47</v>
      </c>
      <c r="E109" s="32" t="s">
        <v>32</v>
      </c>
      <c r="F109" s="33">
        <v>46066</v>
      </c>
      <c r="G109" s="33">
        <v>46244</v>
      </c>
      <c r="H109" s="33"/>
      <c r="I109" s="35" t="s">
        <v>80</v>
      </c>
      <c r="J109" s="32">
        <v>500000</v>
      </c>
      <c r="K109" s="36"/>
      <c r="L109" s="35">
        <v>3519260517</v>
      </c>
      <c r="M109" s="32">
        <f>J109*0.025</f>
        <v>12500</v>
      </c>
      <c r="N109" s="32"/>
      <c r="O109" s="38" t="s">
        <v>163</v>
      </c>
      <c r="P109" s="32">
        <v>13</v>
      </c>
      <c r="Q109" s="32"/>
      <c r="R109" s="33">
        <v>46278</v>
      </c>
      <c r="S109" s="53">
        <v>0.025</v>
      </c>
      <c r="T109" s="52"/>
      <c r="U109" s="32"/>
    </row>
    <row r="110" ht="16.5" spans="2:21">
      <c r="B110" s="30">
        <f t="shared" si="1"/>
        <v>108</v>
      </c>
      <c r="C110" s="30" t="s">
        <v>114</v>
      </c>
      <c r="D110" s="32" t="s">
        <v>86</v>
      </c>
      <c r="E110" s="32" t="s">
        <v>32</v>
      </c>
      <c r="F110" s="33">
        <v>46210</v>
      </c>
      <c r="G110" s="33">
        <v>46389</v>
      </c>
      <c r="H110" s="33"/>
      <c r="I110" s="35" t="s">
        <v>94</v>
      </c>
      <c r="J110" s="32">
        <f>50000-2083.33-2083.33-2083.33</f>
        <v>43750.01</v>
      </c>
      <c r="K110" s="36"/>
      <c r="L110" s="35">
        <v>3524019237</v>
      </c>
      <c r="M110" s="32">
        <f>50000*S110</f>
        <v>1250</v>
      </c>
      <c r="N110" s="32"/>
      <c r="O110" s="38"/>
      <c r="P110" s="81">
        <v>6</v>
      </c>
      <c r="Q110" s="32"/>
      <c r="R110" s="33">
        <v>46271</v>
      </c>
      <c r="S110" s="53">
        <v>0.025</v>
      </c>
      <c r="T110" s="52"/>
      <c r="U110" s="32"/>
    </row>
    <row r="111" ht="16.5" spans="2:21">
      <c r="B111" s="30">
        <f t="shared" si="1"/>
        <v>109</v>
      </c>
      <c r="C111" s="30" t="s">
        <v>114</v>
      </c>
      <c r="D111" s="32" t="s">
        <v>47</v>
      </c>
      <c r="E111" s="32" t="s">
        <v>28</v>
      </c>
      <c r="F111" s="33">
        <v>44645</v>
      </c>
      <c r="G111" s="33"/>
      <c r="H111" s="33">
        <v>45255</v>
      </c>
      <c r="I111" s="32" t="s">
        <v>38</v>
      </c>
      <c r="J111" s="54">
        <v>300000</v>
      </c>
      <c r="K111" s="54"/>
      <c r="L111" s="32">
        <v>3519156594</v>
      </c>
      <c r="M111" s="32">
        <v>7500</v>
      </c>
      <c r="N111" s="32"/>
      <c r="O111" s="38"/>
      <c r="P111" s="32">
        <v>25</v>
      </c>
      <c r="Q111" s="32"/>
      <c r="R111" s="33">
        <v>45285</v>
      </c>
      <c r="S111" s="53">
        <v>0.025</v>
      </c>
      <c r="T111" s="52">
        <v>7500</v>
      </c>
      <c r="U111" s="32" t="s">
        <v>30</v>
      </c>
    </row>
    <row r="112" ht="16.5" spans="2:21">
      <c r="B112" s="30">
        <f t="shared" si="1"/>
        <v>110</v>
      </c>
      <c r="C112" s="30" t="s">
        <v>114</v>
      </c>
      <c r="D112" s="32" t="s">
        <v>47</v>
      </c>
      <c r="E112" s="32" t="s">
        <v>28</v>
      </c>
      <c r="F112" s="33">
        <v>44861</v>
      </c>
      <c r="G112" s="33"/>
      <c r="H112" s="33">
        <v>45258</v>
      </c>
      <c r="I112" s="32" t="s">
        <v>38</v>
      </c>
      <c r="J112" s="54">
        <v>150000</v>
      </c>
      <c r="K112" s="54"/>
      <c r="L112" s="32"/>
      <c r="M112" s="32">
        <v>3750</v>
      </c>
      <c r="N112" s="32"/>
      <c r="O112" s="38"/>
      <c r="P112" s="32">
        <v>27</v>
      </c>
      <c r="Q112" s="32"/>
      <c r="R112" s="33">
        <v>45257</v>
      </c>
      <c r="S112" s="53">
        <v>0.025</v>
      </c>
      <c r="T112" s="52">
        <v>3750</v>
      </c>
      <c r="U112" s="32" t="s">
        <v>30</v>
      </c>
    </row>
    <row r="113" ht="16.5" spans="2:21">
      <c r="B113" s="30">
        <f t="shared" si="1"/>
        <v>111</v>
      </c>
      <c r="C113" s="30" t="s">
        <v>114</v>
      </c>
      <c r="D113" s="32" t="s">
        <v>47</v>
      </c>
      <c r="E113" s="32" t="s">
        <v>32</v>
      </c>
      <c r="F113" s="33">
        <v>45633</v>
      </c>
      <c r="G113" s="33">
        <v>45722</v>
      </c>
      <c r="H113" s="33">
        <v>45636</v>
      </c>
      <c r="I113" s="35" t="s">
        <v>66</v>
      </c>
      <c r="J113" s="32">
        <f>230000-10000</f>
        <v>220000</v>
      </c>
      <c r="K113" s="36"/>
      <c r="L113" s="32">
        <v>3519252767</v>
      </c>
      <c r="M113" s="32">
        <f>220000*0.025</f>
        <v>5500</v>
      </c>
      <c r="N113" s="32"/>
      <c r="O113" s="38"/>
      <c r="P113" s="32">
        <v>5</v>
      </c>
      <c r="Q113" s="32"/>
      <c r="R113" s="33">
        <v>46270</v>
      </c>
      <c r="S113" s="53">
        <v>0.025</v>
      </c>
      <c r="T113" s="52"/>
      <c r="U113" s="32" t="s">
        <v>30</v>
      </c>
    </row>
    <row r="114" ht="16.5" spans="2:21">
      <c r="B114" s="30">
        <f t="shared" si="1"/>
        <v>112</v>
      </c>
      <c r="C114" s="30" t="s">
        <v>114</v>
      </c>
      <c r="D114" s="32" t="s">
        <v>47</v>
      </c>
      <c r="E114" s="32" t="s">
        <v>32</v>
      </c>
      <c r="F114" s="33">
        <v>45951</v>
      </c>
      <c r="G114" s="33">
        <v>46010</v>
      </c>
      <c r="H114" s="33"/>
      <c r="I114" s="35" t="s">
        <v>73</v>
      </c>
      <c r="J114" s="32">
        <v>100000</v>
      </c>
      <c r="K114" s="36"/>
      <c r="L114" s="35">
        <v>3519260505</v>
      </c>
      <c r="M114" s="32">
        <f>J114*0.025</f>
        <v>2500</v>
      </c>
      <c r="N114" s="32"/>
      <c r="O114" s="38"/>
      <c r="P114" s="32">
        <v>8</v>
      </c>
      <c r="Q114" s="32"/>
      <c r="R114" s="33">
        <v>46273</v>
      </c>
      <c r="S114" s="53">
        <v>0.025</v>
      </c>
      <c r="T114" s="52"/>
      <c r="U114" s="32" t="s">
        <v>30</v>
      </c>
    </row>
    <row r="115" ht="16.5" spans="2:21">
      <c r="B115" s="30">
        <f t="shared" si="1"/>
        <v>113</v>
      </c>
      <c r="C115" s="30" t="s">
        <v>110</v>
      </c>
      <c r="D115" s="31" t="s">
        <v>81</v>
      </c>
      <c r="E115" s="32" t="s">
        <v>32</v>
      </c>
      <c r="F115" s="33"/>
      <c r="G115" s="34"/>
      <c r="H115" s="34">
        <v>46275</v>
      </c>
      <c r="I115" s="35" t="s">
        <v>175</v>
      </c>
      <c r="J115" s="36">
        <v>7500</v>
      </c>
      <c r="K115" s="37"/>
      <c r="L115" s="35"/>
      <c r="M115" s="32">
        <v>200</v>
      </c>
      <c r="N115" s="32"/>
      <c r="O115" s="38" t="s">
        <v>176</v>
      </c>
      <c r="P115" s="32">
        <v>10</v>
      </c>
      <c r="Q115" s="32"/>
      <c r="R115" s="34">
        <v>46275</v>
      </c>
      <c r="S115" s="53"/>
      <c r="T115" s="52"/>
      <c r="U115" s="32"/>
    </row>
    <row r="116" ht="16.5" spans="2:21">
      <c r="B116" s="30">
        <f t="shared" si="1"/>
        <v>114</v>
      </c>
      <c r="C116" s="30" t="s">
        <v>110</v>
      </c>
      <c r="D116" s="65" t="s">
        <v>86</v>
      </c>
      <c r="E116" s="32" t="s">
        <v>116</v>
      </c>
      <c r="F116" s="33"/>
      <c r="G116" s="66">
        <v>45669</v>
      </c>
      <c r="H116" s="66">
        <v>46005</v>
      </c>
      <c r="I116" s="35" t="s">
        <v>177</v>
      </c>
      <c r="J116" s="36">
        <v>18000</v>
      </c>
      <c r="K116" s="37"/>
      <c r="L116" s="35"/>
      <c r="M116" s="32">
        <v>1000</v>
      </c>
      <c r="N116" s="32"/>
      <c r="O116" s="38" t="s">
        <v>178</v>
      </c>
      <c r="P116" s="32"/>
      <c r="Q116" s="32"/>
      <c r="R116" s="66">
        <v>46248</v>
      </c>
      <c r="S116" s="53"/>
      <c r="T116" s="52"/>
      <c r="U116" s="32"/>
    </row>
    <row r="117" ht="16.5" spans="2:21">
      <c r="B117" s="30">
        <f t="shared" si="1"/>
        <v>115</v>
      </c>
      <c r="C117" s="30" t="s">
        <v>114</v>
      </c>
      <c r="D117" s="32" t="s">
        <v>81</v>
      </c>
      <c r="E117" s="32" t="s">
        <v>32</v>
      </c>
      <c r="F117" s="33">
        <v>46226</v>
      </c>
      <c r="G117" s="33">
        <v>46405</v>
      </c>
      <c r="H117" s="33"/>
      <c r="I117" s="35" t="s">
        <v>96</v>
      </c>
      <c r="J117" s="32">
        <v>17000</v>
      </c>
      <c r="K117" s="36"/>
      <c r="L117" s="35">
        <v>3524019242</v>
      </c>
      <c r="M117" s="32">
        <v>425</v>
      </c>
      <c r="N117" s="32">
        <f>J117*S117</f>
        <v>85</v>
      </c>
      <c r="O117" s="38"/>
      <c r="P117" s="32">
        <v>22</v>
      </c>
      <c r="Q117" s="32"/>
      <c r="R117" s="33">
        <v>46256</v>
      </c>
      <c r="S117" s="53">
        <v>0.005</v>
      </c>
      <c r="T117" s="52"/>
      <c r="U117" s="32"/>
    </row>
    <row r="118" ht="16.5" spans="2:21">
      <c r="B118" s="30">
        <f t="shared" si="1"/>
        <v>116</v>
      </c>
      <c r="C118" s="30" t="s">
        <v>110</v>
      </c>
      <c r="D118" s="31" t="s">
        <v>81</v>
      </c>
      <c r="E118" s="32" t="s">
        <v>32</v>
      </c>
      <c r="F118" s="33"/>
      <c r="G118" s="34">
        <v>46026</v>
      </c>
      <c r="H118" s="34">
        <v>45997</v>
      </c>
      <c r="I118" s="35" t="s">
        <v>179</v>
      </c>
      <c r="J118" s="36">
        <v>10000</v>
      </c>
      <c r="K118" s="37"/>
      <c r="L118" s="35"/>
      <c r="M118" s="32">
        <v>200</v>
      </c>
      <c r="N118" s="32"/>
      <c r="O118" s="38"/>
      <c r="P118" s="32">
        <v>5</v>
      </c>
      <c r="Q118" s="32"/>
      <c r="R118" s="34">
        <v>46270</v>
      </c>
      <c r="S118" s="53"/>
      <c r="T118" s="52"/>
      <c r="U118" s="32"/>
    </row>
    <row r="119" ht="16.5" spans="2:21">
      <c r="B119" s="30">
        <f t="shared" si="1"/>
        <v>117</v>
      </c>
      <c r="C119" s="30" t="s">
        <v>110</v>
      </c>
      <c r="D119" s="31" t="s">
        <v>128</v>
      </c>
      <c r="E119" s="32" t="s">
        <v>129</v>
      </c>
      <c r="F119" s="33"/>
      <c r="G119" s="34"/>
      <c r="H119" s="34">
        <v>45499</v>
      </c>
      <c r="I119" s="35" t="s">
        <v>180</v>
      </c>
      <c r="J119" s="36">
        <v>50000</v>
      </c>
      <c r="K119" s="37"/>
      <c r="L119" s="35"/>
      <c r="M119" s="32">
        <v>1250</v>
      </c>
      <c r="N119" s="32"/>
      <c r="O119" s="38"/>
      <c r="P119" s="32">
        <v>20</v>
      </c>
      <c r="Q119" s="32"/>
      <c r="R119" s="34">
        <v>45736</v>
      </c>
      <c r="S119" s="53"/>
      <c r="T119" s="52"/>
      <c r="U119" s="32"/>
    </row>
    <row r="120" ht="16.5" spans="2:21">
      <c r="B120" s="30">
        <f t="shared" si="1"/>
        <v>118</v>
      </c>
      <c r="C120" s="30" t="s">
        <v>114</v>
      </c>
      <c r="D120" s="32" t="s">
        <v>31</v>
      </c>
      <c r="E120" s="32" t="s">
        <v>32</v>
      </c>
      <c r="F120" s="33">
        <v>46037</v>
      </c>
      <c r="G120" s="33">
        <v>46216</v>
      </c>
      <c r="H120" s="33"/>
      <c r="I120" s="35" t="s">
        <v>78</v>
      </c>
      <c r="J120" s="32">
        <f>60000-3500-3500</f>
        <v>53000</v>
      </c>
      <c r="K120" s="36"/>
      <c r="L120" s="35">
        <v>3519260513</v>
      </c>
      <c r="M120" s="32">
        <f>60000*0.025</f>
        <v>1500</v>
      </c>
      <c r="N120" s="32"/>
      <c r="O120" s="38"/>
      <c r="P120" s="32">
        <v>15</v>
      </c>
      <c r="Q120" s="32"/>
      <c r="R120" s="33">
        <v>46188</v>
      </c>
      <c r="S120" s="53">
        <v>0.025</v>
      </c>
      <c r="T120" s="52"/>
      <c r="U120" s="32"/>
    </row>
    <row r="121" ht="16.5" spans="2:21">
      <c r="B121" s="30">
        <f t="shared" si="1"/>
        <v>119</v>
      </c>
      <c r="C121" s="30" t="s">
        <v>110</v>
      </c>
      <c r="D121" s="31" t="s">
        <v>181</v>
      </c>
      <c r="E121" s="32" t="s">
        <v>32</v>
      </c>
      <c r="F121" s="33"/>
      <c r="G121" s="34"/>
      <c r="H121" s="34">
        <v>46252</v>
      </c>
      <c r="I121" s="35" t="s">
        <v>182</v>
      </c>
      <c r="J121" s="36">
        <v>300000</v>
      </c>
      <c r="K121" s="37"/>
      <c r="L121" s="35"/>
      <c r="M121" s="32">
        <v>9000</v>
      </c>
      <c r="N121" s="32"/>
      <c r="O121" s="38"/>
      <c r="P121" s="32">
        <v>16</v>
      </c>
      <c r="Q121" s="32"/>
      <c r="R121" s="34">
        <v>46281</v>
      </c>
      <c r="S121" s="53"/>
      <c r="T121" s="52"/>
      <c r="U121" s="32"/>
    </row>
    <row r="122" ht="16.5" spans="2:21">
      <c r="B122" s="30">
        <f t="shared" si="1"/>
        <v>120</v>
      </c>
      <c r="C122" s="30" t="s">
        <v>110</v>
      </c>
      <c r="D122" s="31" t="s">
        <v>181</v>
      </c>
      <c r="E122" s="32" t="s">
        <v>32</v>
      </c>
      <c r="F122" s="33"/>
      <c r="G122" s="34"/>
      <c r="H122" s="34">
        <v>46269</v>
      </c>
      <c r="I122" s="35" t="s">
        <v>182</v>
      </c>
      <c r="J122" s="36">
        <v>1260000</v>
      </c>
      <c r="K122" s="37"/>
      <c r="L122" s="35"/>
      <c r="M122" s="32">
        <v>37800</v>
      </c>
      <c r="N122" s="32"/>
      <c r="O122" s="38"/>
      <c r="P122" s="32">
        <v>4</v>
      </c>
      <c r="Q122" s="32"/>
      <c r="R122" s="34">
        <v>46269</v>
      </c>
      <c r="S122" s="53"/>
      <c r="T122" s="52"/>
      <c r="U122" s="32"/>
    </row>
    <row r="123" ht="16.5" spans="2:21">
      <c r="B123" s="30">
        <f t="shared" si="1"/>
        <v>121</v>
      </c>
      <c r="C123" s="30" t="s">
        <v>110</v>
      </c>
      <c r="D123" s="31" t="s">
        <v>81</v>
      </c>
      <c r="E123" s="32" t="s">
        <v>32</v>
      </c>
      <c r="F123" s="33"/>
      <c r="G123" s="34"/>
      <c r="H123" s="34">
        <v>46170</v>
      </c>
      <c r="I123" s="35" t="s">
        <v>183</v>
      </c>
      <c r="J123" s="36">
        <v>3700</v>
      </c>
      <c r="K123" s="37"/>
      <c r="L123" s="35"/>
      <c r="M123" s="32">
        <v>200</v>
      </c>
      <c r="N123" s="32"/>
      <c r="O123" s="38"/>
      <c r="P123" s="32">
        <v>27</v>
      </c>
      <c r="Q123" s="32"/>
      <c r="R123" s="34">
        <v>46292</v>
      </c>
      <c r="S123" s="53"/>
      <c r="T123" s="52"/>
      <c r="U123" s="32"/>
    </row>
    <row r="124" ht="16.5" spans="2:21">
      <c r="B124" s="30">
        <f t="shared" si="1"/>
        <v>122</v>
      </c>
      <c r="C124" s="30" t="s">
        <v>114</v>
      </c>
      <c r="D124" s="32" t="s">
        <v>47</v>
      </c>
      <c r="E124" s="32" t="s">
        <v>32</v>
      </c>
      <c r="F124" s="33">
        <v>45895</v>
      </c>
      <c r="G124" s="33">
        <v>45924</v>
      </c>
      <c r="H124" s="33"/>
      <c r="I124" s="35" t="s">
        <v>72</v>
      </c>
      <c r="J124" s="32">
        <f>500000-160000</f>
        <v>340000</v>
      </c>
      <c r="K124" s="36"/>
      <c r="L124" s="32">
        <v>3519252800</v>
      </c>
      <c r="M124" s="32">
        <f>340000*0.016</f>
        <v>5440</v>
      </c>
      <c r="N124" s="32"/>
      <c r="O124" s="38"/>
      <c r="P124" s="32">
        <v>25</v>
      </c>
      <c r="Q124" s="32"/>
      <c r="R124" s="33">
        <v>46137</v>
      </c>
      <c r="S124" s="53">
        <v>0.016</v>
      </c>
      <c r="T124" s="52"/>
      <c r="U124" s="32" t="s">
        <v>30</v>
      </c>
    </row>
    <row r="125" ht="16.5" spans="2:21">
      <c r="B125" s="30">
        <f t="shared" si="1"/>
        <v>123</v>
      </c>
      <c r="C125" s="30" t="s">
        <v>114</v>
      </c>
      <c r="D125" s="32" t="s">
        <v>47</v>
      </c>
      <c r="E125" s="32" t="s">
        <v>184</v>
      </c>
      <c r="F125" s="33">
        <v>46219</v>
      </c>
      <c r="G125" s="33">
        <v>46398</v>
      </c>
      <c r="H125" s="33"/>
      <c r="I125" s="35" t="s">
        <v>95</v>
      </c>
      <c r="J125" s="32">
        <v>400000</v>
      </c>
      <c r="K125" s="32"/>
      <c r="L125" s="35">
        <v>3524019243</v>
      </c>
      <c r="M125" s="32">
        <f>J125*S125</f>
        <v>7200</v>
      </c>
      <c r="N125" s="32"/>
      <c r="O125" s="38"/>
      <c r="P125" s="32"/>
      <c r="Q125" s="32"/>
      <c r="R125" s="33">
        <v>46250</v>
      </c>
      <c r="S125" s="53">
        <v>0.018</v>
      </c>
      <c r="T125" s="52"/>
      <c r="U125" s="32"/>
    </row>
    <row r="126" ht="16.5" spans="2:21">
      <c r="B126" s="30">
        <f t="shared" si="1"/>
        <v>124</v>
      </c>
      <c r="C126" s="30" t="s">
        <v>114</v>
      </c>
      <c r="D126" s="32" t="s">
        <v>47</v>
      </c>
      <c r="E126" s="32" t="s">
        <v>184</v>
      </c>
      <c r="F126" s="33">
        <v>46230</v>
      </c>
      <c r="G126" s="33">
        <v>46407</v>
      </c>
      <c r="H126" s="33"/>
      <c r="I126" s="35" t="s">
        <v>95</v>
      </c>
      <c r="J126" s="32">
        <v>200000</v>
      </c>
      <c r="K126" s="32"/>
      <c r="L126" s="35"/>
      <c r="M126" s="32">
        <f>J126*S126</f>
        <v>3600</v>
      </c>
      <c r="N126" s="32"/>
      <c r="O126" s="38"/>
      <c r="P126" s="32"/>
      <c r="Q126" s="32"/>
      <c r="R126" s="33">
        <v>46261</v>
      </c>
      <c r="S126" s="53">
        <v>0.018</v>
      </c>
      <c r="T126" s="52"/>
      <c r="U126" s="32"/>
    </row>
    <row r="127" ht="16.5" spans="2:21">
      <c r="B127" s="30">
        <f t="shared" si="1"/>
        <v>125</v>
      </c>
      <c r="C127" s="30" t="s">
        <v>114</v>
      </c>
      <c r="D127" s="32" t="s">
        <v>47</v>
      </c>
      <c r="E127" s="32" t="s">
        <v>184</v>
      </c>
      <c r="F127" s="33">
        <v>46234</v>
      </c>
      <c r="G127" s="33">
        <v>46412</v>
      </c>
      <c r="H127" s="33"/>
      <c r="I127" s="35" t="s">
        <v>95</v>
      </c>
      <c r="J127" s="32">
        <v>100000</v>
      </c>
      <c r="K127" s="32"/>
      <c r="L127" s="35"/>
      <c r="M127" s="32">
        <f>J127*S127</f>
        <v>1800</v>
      </c>
      <c r="N127" s="32"/>
      <c r="O127" s="38"/>
      <c r="P127" s="32"/>
      <c r="Q127" s="32"/>
      <c r="R127" s="33">
        <v>46264</v>
      </c>
      <c r="S127" s="53">
        <v>0.018</v>
      </c>
      <c r="T127" s="52"/>
      <c r="U127" s="32"/>
    </row>
    <row r="128" ht="16.5" spans="2:21">
      <c r="B128" s="30">
        <f t="shared" si="1"/>
        <v>126</v>
      </c>
      <c r="C128" s="30" t="s">
        <v>110</v>
      </c>
      <c r="D128" s="31" t="s">
        <v>128</v>
      </c>
      <c r="E128" s="32" t="s">
        <v>145</v>
      </c>
      <c r="F128" s="33"/>
      <c r="G128" s="55"/>
      <c r="H128" s="55">
        <v>44116</v>
      </c>
      <c r="I128" s="35" t="s">
        <v>185</v>
      </c>
      <c r="J128" s="36">
        <v>15000</v>
      </c>
      <c r="K128" s="56"/>
      <c r="L128" s="35"/>
      <c r="M128" s="32"/>
      <c r="N128" s="32"/>
      <c r="O128" s="38" t="s">
        <v>145</v>
      </c>
      <c r="P128" s="32"/>
      <c r="Q128" s="32"/>
      <c r="R128" s="55"/>
      <c r="S128" s="53"/>
      <c r="T128" s="52"/>
      <c r="U128" s="32"/>
    </row>
    <row r="129" ht="16.5" spans="2:21">
      <c r="B129" s="30">
        <f t="shared" si="1"/>
        <v>127</v>
      </c>
      <c r="C129" s="30" t="s">
        <v>110</v>
      </c>
      <c r="D129" s="31" t="s">
        <v>86</v>
      </c>
      <c r="E129" s="32" t="s">
        <v>32</v>
      </c>
      <c r="F129" s="33"/>
      <c r="G129" s="34">
        <v>46008</v>
      </c>
      <c r="H129" s="34">
        <v>45979</v>
      </c>
      <c r="I129" s="35" t="s">
        <v>186</v>
      </c>
      <c r="J129" s="36">
        <v>15000</v>
      </c>
      <c r="K129" s="37"/>
      <c r="L129" s="35"/>
      <c r="M129" s="32">
        <v>900</v>
      </c>
      <c r="N129" s="32"/>
      <c r="O129" s="38"/>
      <c r="P129" s="32">
        <v>17</v>
      </c>
      <c r="Q129" s="32"/>
      <c r="R129" s="34">
        <v>46282</v>
      </c>
      <c r="S129" s="53"/>
      <c r="T129" s="52"/>
      <c r="U129" s="32"/>
    </row>
    <row r="130" ht="16.5" spans="2:21">
      <c r="B130" s="30">
        <f t="shared" si="1"/>
        <v>128</v>
      </c>
      <c r="C130" s="30" t="s">
        <v>110</v>
      </c>
      <c r="D130" s="31" t="s">
        <v>81</v>
      </c>
      <c r="E130" s="32" t="s">
        <v>32</v>
      </c>
      <c r="F130" s="33"/>
      <c r="G130" s="34"/>
      <c r="H130" s="34">
        <v>46251</v>
      </c>
      <c r="I130" s="35" t="s">
        <v>187</v>
      </c>
      <c r="J130" s="36">
        <v>8600</v>
      </c>
      <c r="K130" s="37"/>
      <c r="L130" s="35"/>
      <c r="M130" s="32">
        <v>215</v>
      </c>
      <c r="N130" s="32"/>
      <c r="O130" s="38"/>
      <c r="P130" s="32">
        <v>16</v>
      </c>
      <c r="Q130" s="32"/>
      <c r="R130" s="34">
        <v>46281</v>
      </c>
      <c r="S130" s="53"/>
      <c r="T130" s="52"/>
      <c r="U130" s="32"/>
    </row>
    <row r="131" ht="16.5" spans="2:21">
      <c r="B131" s="30">
        <f t="shared" ref="B131:B194" si="2">ROW()-2</f>
        <v>129</v>
      </c>
      <c r="C131" s="30" t="s">
        <v>114</v>
      </c>
      <c r="D131" s="32" t="s">
        <v>47</v>
      </c>
      <c r="E131" s="32" t="s">
        <v>28</v>
      </c>
      <c r="F131" s="33">
        <v>45574</v>
      </c>
      <c r="G131" s="33">
        <v>45663</v>
      </c>
      <c r="H131" s="33">
        <v>45575</v>
      </c>
      <c r="I131" s="35" t="s">
        <v>62</v>
      </c>
      <c r="J131" s="32">
        <f>500000-160000-190000</f>
        <v>150000</v>
      </c>
      <c r="K131" s="32"/>
      <c r="L131" s="32">
        <v>3519252753</v>
      </c>
      <c r="M131" s="32">
        <f>340000*0.025</f>
        <v>8500</v>
      </c>
      <c r="N131" s="32"/>
      <c r="O131" s="38"/>
      <c r="P131" s="32">
        <v>5</v>
      </c>
      <c r="Q131" s="32"/>
      <c r="R131" s="33">
        <v>45782</v>
      </c>
      <c r="S131" s="53">
        <v>0.025</v>
      </c>
      <c r="T131" s="52"/>
      <c r="U131" s="32" t="s">
        <v>30</v>
      </c>
    </row>
    <row r="132" ht="16.5" spans="2:21">
      <c r="B132" s="30">
        <f t="shared" si="2"/>
        <v>130</v>
      </c>
      <c r="C132" s="30" t="s">
        <v>114</v>
      </c>
      <c r="D132" s="32" t="s">
        <v>47</v>
      </c>
      <c r="E132" s="32" t="s">
        <v>32</v>
      </c>
      <c r="F132" s="33">
        <v>45964</v>
      </c>
      <c r="G132" s="33">
        <v>45778</v>
      </c>
      <c r="H132" s="33"/>
      <c r="I132" s="35" t="s">
        <v>76</v>
      </c>
      <c r="J132" s="32">
        <v>300000</v>
      </c>
      <c r="K132" s="36"/>
      <c r="L132" s="32"/>
      <c r="M132" s="32">
        <f>J132*0.018</f>
        <v>5400</v>
      </c>
      <c r="N132" s="32"/>
      <c r="O132" s="38" t="s">
        <v>188</v>
      </c>
      <c r="P132" s="32">
        <v>3</v>
      </c>
      <c r="Q132" s="32"/>
      <c r="R132" s="33">
        <v>46268</v>
      </c>
      <c r="S132" s="53">
        <v>0.018</v>
      </c>
      <c r="T132" s="52"/>
      <c r="U132" s="32" t="s">
        <v>61</v>
      </c>
    </row>
    <row r="133" ht="16.5" spans="2:21">
      <c r="B133" s="30">
        <f t="shared" si="2"/>
        <v>131</v>
      </c>
      <c r="C133" s="30" t="s">
        <v>110</v>
      </c>
      <c r="D133" s="31" t="s">
        <v>81</v>
      </c>
      <c r="E133" s="32" t="s">
        <v>32</v>
      </c>
      <c r="F133" s="33"/>
      <c r="G133" s="34"/>
      <c r="H133" s="34">
        <v>46257</v>
      </c>
      <c r="I133" s="35" t="s">
        <v>189</v>
      </c>
      <c r="J133" s="36">
        <v>120000</v>
      </c>
      <c r="K133" s="37"/>
      <c r="L133" s="35"/>
      <c r="M133" s="32">
        <v>1800</v>
      </c>
      <c r="N133" s="32"/>
      <c r="O133" s="38"/>
      <c r="P133" s="32">
        <v>21</v>
      </c>
      <c r="Q133" s="32"/>
      <c r="R133" s="34">
        <v>46286</v>
      </c>
      <c r="S133" s="53"/>
      <c r="T133" s="52"/>
      <c r="U133" s="32"/>
    </row>
    <row r="134" ht="16.5" spans="2:21">
      <c r="B134" s="30">
        <f t="shared" si="2"/>
        <v>132</v>
      </c>
      <c r="C134" s="30" t="s">
        <v>110</v>
      </c>
      <c r="D134" s="31" t="s">
        <v>128</v>
      </c>
      <c r="E134" s="32" t="s">
        <v>122</v>
      </c>
      <c r="F134" s="33"/>
      <c r="G134" s="34"/>
      <c r="H134" s="34">
        <v>45649</v>
      </c>
      <c r="I134" s="35" t="s">
        <v>190</v>
      </c>
      <c r="J134" s="36">
        <v>30000</v>
      </c>
      <c r="K134" s="37"/>
      <c r="L134" s="35"/>
      <c r="M134" s="32"/>
      <c r="N134" s="32"/>
      <c r="O134" s="38"/>
      <c r="P134" s="32">
        <v>25</v>
      </c>
      <c r="Q134" s="32"/>
      <c r="R134" s="34">
        <v>46228</v>
      </c>
      <c r="S134" s="53"/>
      <c r="T134" s="52"/>
      <c r="U134" s="32"/>
    </row>
    <row r="135" ht="16.5" spans="2:21">
      <c r="B135" s="30">
        <f t="shared" si="2"/>
        <v>133</v>
      </c>
      <c r="C135" s="30" t="s">
        <v>110</v>
      </c>
      <c r="D135" s="31" t="s">
        <v>81</v>
      </c>
      <c r="E135" s="32" t="s">
        <v>32</v>
      </c>
      <c r="F135" s="33"/>
      <c r="G135" s="34"/>
      <c r="H135" s="34">
        <v>46249</v>
      </c>
      <c r="I135" s="35" t="s">
        <v>191</v>
      </c>
      <c r="J135" s="36">
        <v>12000</v>
      </c>
      <c r="K135" s="37"/>
      <c r="L135" s="35"/>
      <c r="M135" s="32">
        <v>300</v>
      </c>
      <c r="N135" s="32"/>
      <c r="O135" s="38"/>
      <c r="P135" s="32">
        <v>14</v>
      </c>
      <c r="Q135" s="32"/>
      <c r="R135" s="34">
        <v>46279</v>
      </c>
      <c r="S135" s="53"/>
      <c r="T135" s="52"/>
      <c r="U135" s="32"/>
    </row>
    <row r="136" ht="16.5" spans="2:21">
      <c r="B136" s="30">
        <f t="shared" si="2"/>
        <v>134</v>
      </c>
      <c r="C136" s="30" t="s">
        <v>110</v>
      </c>
      <c r="D136" s="31" t="s">
        <v>81</v>
      </c>
      <c r="E136" s="32" t="s">
        <v>32</v>
      </c>
      <c r="F136" s="33"/>
      <c r="G136" s="34"/>
      <c r="H136" s="34">
        <v>46258</v>
      </c>
      <c r="I136" s="35" t="s">
        <v>191</v>
      </c>
      <c r="J136" s="36">
        <v>6500</v>
      </c>
      <c r="K136" s="37"/>
      <c r="L136" s="35"/>
      <c r="M136" s="32">
        <v>200</v>
      </c>
      <c r="N136" s="32"/>
      <c r="O136" s="38"/>
      <c r="P136" s="32">
        <v>22</v>
      </c>
      <c r="Q136" s="32"/>
      <c r="R136" s="34">
        <v>46287</v>
      </c>
      <c r="S136" s="53"/>
      <c r="T136" s="52"/>
      <c r="U136" s="32"/>
    </row>
    <row r="137" ht="16.5" spans="2:21">
      <c r="B137" s="30">
        <f t="shared" si="2"/>
        <v>135</v>
      </c>
      <c r="C137" s="30" t="s">
        <v>114</v>
      </c>
      <c r="D137" s="32" t="s">
        <v>47</v>
      </c>
      <c r="E137" s="32" t="s">
        <v>28</v>
      </c>
      <c r="F137" s="33">
        <v>44456</v>
      </c>
      <c r="G137" s="33"/>
      <c r="H137" s="33">
        <v>45247</v>
      </c>
      <c r="I137" s="32" t="s">
        <v>34</v>
      </c>
      <c r="J137" s="54">
        <v>70000</v>
      </c>
      <c r="K137" s="54"/>
      <c r="L137" s="32">
        <v>3519123861</v>
      </c>
      <c r="M137" s="32">
        <v>1750</v>
      </c>
      <c r="N137" s="32"/>
      <c r="O137" s="38"/>
      <c r="P137" s="32">
        <v>12</v>
      </c>
      <c r="Q137" s="32"/>
      <c r="R137" s="33">
        <v>45700</v>
      </c>
      <c r="S137" s="53">
        <v>0.025</v>
      </c>
      <c r="T137" s="52">
        <v>1750</v>
      </c>
      <c r="U137" s="32" t="s">
        <v>30</v>
      </c>
    </row>
    <row r="138" ht="16.5" spans="2:21">
      <c r="B138" s="30">
        <f t="shared" si="2"/>
        <v>136</v>
      </c>
      <c r="C138" s="30" t="s">
        <v>114</v>
      </c>
      <c r="D138" s="32" t="s">
        <v>31</v>
      </c>
      <c r="E138" s="32" t="s">
        <v>32</v>
      </c>
      <c r="F138" s="33">
        <v>45754</v>
      </c>
      <c r="G138" s="33">
        <v>45933</v>
      </c>
      <c r="H138" s="33"/>
      <c r="I138" s="35" t="s">
        <v>69</v>
      </c>
      <c r="J138" s="32">
        <f>60000-5000-5000-5000-5000</f>
        <v>40000</v>
      </c>
      <c r="K138" s="36"/>
      <c r="L138" s="32">
        <v>3519252784</v>
      </c>
      <c r="M138" s="32">
        <f>40000*0.025</f>
        <v>1000</v>
      </c>
      <c r="N138" s="32"/>
      <c r="O138" s="38"/>
      <c r="P138" s="32">
        <v>5</v>
      </c>
      <c r="Q138" s="32"/>
      <c r="R138" s="33">
        <v>46147</v>
      </c>
      <c r="S138" s="53">
        <v>0.025</v>
      </c>
      <c r="T138" s="52"/>
      <c r="U138" s="32" t="s">
        <v>30</v>
      </c>
    </row>
    <row r="139" ht="16.5" spans="2:21">
      <c r="B139" s="30">
        <f t="shared" si="2"/>
        <v>137</v>
      </c>
      <c r="C139" s="30" t="s">
        <v>110</v>
      </c>
      <c r="D139" s="31" t="s">
        <v>81</v>
      </c>
      <c r="E139" s="32" t="s">
        <v>32</v>
      </c>
      <c r="F139" s="33"/>
      <c r="G139" s="34">
        <v>45836</v>
      </c>
      <c r="H139" s="34">
        <v>45806</v>
      </c>
      <c r="I139" s="35" t="s">
        <v>192</v>
      </c>
      <c r="J139" s="36">
        <v>40000</v>
      </c>
      <c r="K139" s="37"/>
      <c r="L139" s="35"/>
      <c r="M139" s="32">
        <v>1000</v>
      </c>
      <c r="N139" s="32"/>
      <c r="O139" s="38"/>
      <c r="P139" s="32">
        <v>28</v>
      </c>
      <c r="Q139" s="32"/>
      <c r="R139" s="34">
        <v>46293</v>
      </c>
      <c r="S139" s="53"/>
      <c r="T139" s="52"/>
      <c r="U139" s="32"/>
    </row>
    <row r="140" ht="16.5" spans="2:21">
      <c r="B140" s="30">
        <f t="shared" si="2"/>
        <v>138</v>
      </c>
      <c r="C140" s="30" t="s">
        <v>114</v>
      </c>
      <c r="D140" s="32" t="s">
        <v>84</v>
      </c>
      <c r="E140" s="32" t="s">
        <v>32</v>
      </c>
      <c r="F140" s="33">
        <v>46156</v>
      </c>
      <c r="G140" s="33">
        <v>46185</v>
      </c>
      <c r="H140" s="33"/>
      <c r="I140" s="35" t="s">
        <v>85</v>
      </c>
      <c r="J140" s="32">
        <v>100000</v>
      </c>
      <c r="K140" s="36"/>
      <c r="L140" s="35">
        <v>3519260525</v>
      </c>
      <c r="M140" s="32">
        <v>3000</v>
      </c>
      <c r="N140" s="32">
        <f>J140*S140</f>
        <v>500</v>
      </c>
      <c r="O140" s="38"/>
      <c r="P140" s="32">
        <v>12</v>
      </c>
      <c r="Q140" s="32"/>
      <c r="R140" s="33">
        <v>46277</v>
      </c>
      <c r="S140" s="53">
        <v>0.005</v>
      </c>
      <c r="T140" s="52"/>
      <c r="U140" s="32"/>
    </row>
    <row r="141" ht="16.5" spans="2:21">
      <c r="B141" s="30">
        <f t="shared" si="2"/>
        <v>139</v>
      </c>
      <c r="C141" s="30" t="s">
        <v>114</v>
      </c>
      <c r="D141" s="32" t="s">
        <v>81</v>
      </c>
      <c r="E141" s="32" t="s">
        <v>59</v>
      </c>
      <c r="F141" s="33">
        <v>46182</v>
      </c>
      <c r="G141" s="33">
        <v>46211</v>
      </c>
      <c r="H141" s="33"/>
      <c r="I141" s="35" t="s">
        <v>90</v>
      </c>
      <c r="J141" s="32">
        <f>380000-30000</f>
        <v>350000</v>
      </c>
      <c r="K141" s="32"/>
      <c r="L141" s="35">
        <v>3524019232</v>
      </c>
      <c r="M141" s="32">
        <f>J141*S141</f>
        <v>350</v>
      </c>
      <c r="N141" s="32"/>
      <c r="O141" s="38"/>
      <c r="P141" s="32"/>
      <c r="Q141" s="32"/>
      <c r="R141" s="33">
        <v>46182</v>
      </c>
      <c r="S141" s="53">
        <v>0.001</v>
      </c>
      <c r="T141" s="52"/>
      <c r="U141" s="32"/>
    </row>
    <row r="142" ht="16.5" spans="2:21">
      <c r="B142" s="30">
        <f t="shared" si="2"/>
        <v>140</v>
      </c>
      <c r="C142" s="30" t="s">
        <v>110</v>
      </c>
      <c r="D142" s="31" t="s">
        <v>81</v>
      </c>
      <c r="E142" s="32" t="s">
        <v>32</v>
      </c>
      <c r="F142" s="33"/>
      <c r="G142" s="34"/>
      <c r="H142" s="34">
        <v>46217</v>
      </c>
      <c r="I142" s="35" t="s">
        <v>193</v>
      </c>
      <c r="J142" s="36">
        <v>23000</v>
      </c>
      <c r="K142" s="37"/>
      <c r="L142" s="35"/>
      <c r="M142" s="32">
        <v>700</v>
      </c>
      <c r="N142" s="32"/>
      <c r="O142" s="38"/>
      <c r="P142" s="32">
        <v>12</v>
      </c>
      <c r="Q142" s="32"/>
      <c r="R142" s="34">
        <v>46277</v>
      </c>
      <c r="S142" s="53"/>
      <c r="T142" s="52"/>
      <c r="U142" s="32"/>
    </row>
    <row r="143" ht="16.5" spans="2:21">
      <c r="B143" s="30">
        <f t="shared" si="2"/>
        <v>141</v>
      </c>
      <c r="C143" s="30" t="s">
        <v>110</v>
      </c>
      <c r="D143" s="31" t="s">
        <v>128</v>
      </c>
      <c r="E143" s="32" t="s">
        <v>28</v>
      </c>
      <c r="F143" s="33"/>
      <c r="G143" s="55"/>
      <c r="H143" s="55">
        <v>44978</v>
      </c>
      <c r="I143" s="35" t="s">
        <v>194</v>
      </c>
      <c r="J143" s="36">
        <v>850000</v>
      </c>
      <c r="K143" s="37"/>
      <c r="L143" s="35"/>
      <c r="M143" s="32"/>
      <c r="N143" s="32"/>
      <c r="O143" s="38" t="s">
        <v>145</v>
      </c>
      <c r="P143" s="32"/>
      <c r="Q143" s="32"/>
      <c r="R143" s="55"/>
      <c r="S143" s="53"/>
      <c r="T143" s="52"/>
      <c r="U143" s="32"/>
    </row>
    <row r="144" ht="16.5" spans="2:21">
      <c r="B144" s="30">
        <f t="shared" si="2"/>
        <v>142</v>
      </c>
      <c r="C144" s="30" t="s">
        <v>110</v>
      </c>
      <c r="D144" s="31" t="s">
        <v>128</v>
      </c>
      <c r="E144" s="32" t="s">
        <v>32</v>
      </c>
      <c r="F144" s="33"/>
      <c r="G144" s="34"/>
      <c r="H144" s="34">
        <v>45787</v>
      </c>
      <c r="I144" s="35" t="s">
        <v>195</v>
      </c>
      <c r="J144" s="36">
        <v>23339</v>
      </c>
      <c r="K144" s="37"/>
      <c r="L144" s="35"/>
      <c r="M144" s="32">
        <v>1200</v>
      </c>
      <c r="N144" s="32"/>
      <c r="O144" s="38"/>
      <c r="P144" s="32">
        <v>9</v>
      </c>
      <c r="Q144" s="32"/>
      <c r="R144" s="34">
        <v>46274</v>
      </c>
      <c r="S144" s="53"/>
      <c r="T144" s="52"/>
      <c r="U144" s="32"/>
    </row>
    <row r="145" ht="16.5" spans="2:21">
      <c r="B145" s="30">
        <f t="shared" si="2"/>
        <v>143</v>
      </c>
      <c r="C145" s="30" t="s">
        <v>110</v>
      </c>
      <c r="D145" s="31" t="s">
        <v>81</v>
      </c>
      <c r="E145" s="32" t="s">
        <v>32</v>
      </c>
      <c r="F145" s="33"/>
      <c r="G145" s="34"/>
      <c r="H145" s="34">
        <v>45928</v>
      </c>
      <c r="I145" s="35" t="s">
        <v>196</v>
      </c>
      <c r="J145" s="36">
        <v>5000</v>
      </c>
      <c r="K145" s="37"/>
      <c r="L145" s="35"/>
      <c r="M145" s="32">
        <v>125</v>
      </c>
      <c r="N145" s="32"/>
      <c r="O145" s="38"/>
      <c r="P145" s="32">
        <v>27</v>
      </c>
      <c r="Q145" s="32"/>
      <c r="R145" s="34">
        <v>46292</v>
      </c>
      <c r="S145" s="53"/>
      <c r="T145" s="52"/>
      <c r="U145" s="32"/>
    </row>
    <row r="146" ht="16.5" spans="2:21">
      <c r="B146" s="30">
        <f t="shared" si="2"/>
        <v>144</v>
      </c>
      <c r="C146" s="30" t="s">
        <v>114</v>
      </c>
      <c r="D146" s="32" t="s">
        <v>47</v>
      </c>
      <c r="E146" s="32" t="s">
        <v>28</v>
      </c>
      <c r="F146" s="33">
        <v>44887</v>
      </c>
      <c r="G146" s="33"/>
      <c r="H146" s="33">
        <v>45220</v>
      </c>
      <c r="I146" s="32" t="s">
        <v>45</v>
      </c>
      <c r="J146" s="54">
        <v>150000</v>
      </c>
      <c r="K146" s="54"/>
      <c r="L146" s="32"/>
      <c r="M146" s="32">
        <v>3750</v>
      </c>
      <c r="N146" s="32"/>
      <c r="O146" s="38"/>
      <c r="P146" s="32">
        <v>21</v>
      </c>
      <c r="Q146" s="32"/>
      <c r="R146" s="33">
        <v>45190</v>
      </c>
      <c r="S146" s="53">
        <v>0.01</v>
      </c>
      <c r="T146" s="52">
        <v>1500</v>
      </c>
      <c r="U146" s="32" t="s">
        <v>30</v>
      </c>
    </row>
    <row r="147" ht="16.5" spans="2:21">
      <c r="B147" s="30">
        <f t="shared" si="2"/>
        <v>145</v>
      </c>
      <c r="C147" s="30" t="s">
        <v>114</v>
      </c>
      <c r="D147" s="32" t="s">
        <v>47</v>
      </c>
      <c r="E147" s="32" t="s">
        <v>28</v>
      </c>
      <c r="F147" s="33">
        <v>44888</v>
      </c>
      <c r="G147" s="33"/>
      <c r="H147" s="33">
        <v>45221</v>
      </c>
      <c r="I147" s="32" t="s">
        <v>45</v>
      </c>
      <c r="J147" s="54">
        <v>150000</v>
      </c>
      <c r="K147" s="54"/>
      <c r="L147" s="32"/>
      <c r="M147" s="32">
        <v>3750</v>
      </c>
      <c r="N147" s="32"/>
      <c r="O147" s="38"/>
      <c r="P147" s="32">
        <v>22</v>
      </c>
      <c r="Q147" s="32"/>
      <c r="R147" s="33">
        <v>45191</v>
      </c>
      <c r="S147" s="53">
        <v>0.025</v>
      </c>
      <c r="T147" s="52">
        <v>3750</v>
      </c>
      <c r="U147" s="32" t="s">
        <v>30</v>
      </c>
    </row>
    <row r="148" ht="16.5" spans="2:21">
      <c r="B148" s="30">
        <f t="shared" si="2"/>
        <v>146</v>
      </c>
      <c r="C148" s="30" t="s">
        <v>110</v>
      </c>
      <c r="D148" s="31" t="s">
        <v>92</v>
      </c>
      <c r="E148" s="32" t="s">
        <v>32</v>
      </c>
      <c r="F148" s="33"/>
      <c r="G148" s="34"/>
      <c r="H148" s="34">
        <v>46223</v>
      </c>
      <c r="I148" s="35" t="s">
        <v>197</v>
      </c>
      <c r="J148" s="36">
        <v>8000</v>
      </c>
      <c r="K148" s="37"/>
      <c r="L148" s="35"/>
      <c r="M148" s="32">
        <v>200</v>
      </c>
      <c r="N148" s="32"/>
      <c r="O148" s="38"/>
      <c r="P148" s="32">
        <v>19</v>
      </c>
      <c r="Q148" s="32"/>
      <c r="R148" s="34">
        <v>46284</v>
      </c>
      <c r="S148" s="53"/>
      <c r="T148" s="52"/>
      <c r="U148" s="32"/>
    </row>
    <row r="149" ht="16.5" spans="2:21">
      <c r="B149" s="30">
        <f t="shared" si="2"/>
        <v>147</v>
      </c>
      <c r="C149" s="30" t="s">
        <v>110</v>
      </c>
      <c r="D149" s="31" t="s">
        <v>128</v>
      </c>
      <c r="E149" s="32" t="s">
        <v>32</v>
      </c>
      <c r="F149" s="33"/>
      <c r="G149" s="55"/>
      <c r="H149" s="55">
        <v>45191</v>
      </c>
      <c r="I149" s="35" t="s">
        <v>198</v>
      </c>
      <c r="J149" s="36">
        <v>30000</v>
      </c>
      <c r="K149" s="37"/>
      <c r="L149" s="35"/>
      <c r="M149" s="32">
        <v>600</v>
      </c>
      <c r="N149" s="32"/>
      <c r="O149" s="38"/>
      <c r="P149" s="32">
        <v>14</v>
      </c>
      <c r="Q149" s="32"/>
      <c r="R149" s="55">
        <v>45944</v>
      </c>
      <c r="S149" s="53"/>
      <c r="T149" s="52"/>
      <c r="U149" s="32"/>
    </row>
    <row r="150" ht="16.5" spans="2:21">
      <c r="B150" s="30">
        <f t="shared" si="2"/>
        <v>148</v>
      </c>
      <c r="C150" s="30" t="s">
        <v>110</v>
      </c>
      <c r="D150" s="31" t="s">
        <v>81</v>
      </c>
      <c r="E150" s="32" t="s">
        <v>32</v>
      </c>
      <c r="F150" s="33"/>
      <c r="G150" s="34">
        <v>46114</v>
      </c>
      <c r="H150" s="34">
        <v>46083</v>
      </c>
      <c r="I150" s="35" t="s">
        <v>199</v>
      </c>
      <c r="J150" s="36">
        <v>310000</v>
      </c>
      <c r="K150" s="37"/>
      <c r="L150" s="35"/>
      <c r="M150" s="32">
        <v>6210</v>
      </c>
      <c r="N150" s="32"/>
      <c r="O150" s="38"/>
      <c r="P150" s="32">
        <v>2</v>
      </c>
      <c r="Q150" s="32"/>
      <c r="R150" s="34">
        <v>46267</v>
      </c>
      <c r="S150" s="53"/>
      <c r="T150" s="52"/>
      <c r="U150" s="32"/>
    </row>
    <row r="151" ht="16.5" spans="2:21">
      <c r="B151" s="30">
        <f t="shared" si="2"/>
        <v>149</v>
      </c>
      <c r="C151" s="30" t="s">
        <v>110</v>
      </c>
      <c r="D151" s="31" t="s">
        <v>81</v>
      </c>
      <c r="E151" s="32" t="s">
        <v>32</v>
      </c>
      <c r="F151" s="33"/>
      <c r="G151" s="34"/>
      <c r="H151" s="34">
        <v>46263</v>
      </c>
      <c r="I151" s="35" t="s">
        <v>200</v>
      </c>
      <c r="J151" s="36">
        <v>13000</v>
      </c>
      <c r="K151" s="37"/>
      <c r="L151" s="35"/>
      <c r="M151" s="32">
        <v>325</v>
      </c>
      <c r="N151" s="32"/>
      <c r="O151" s="38"/>
      <c r="P151" s="32">
        <v>27</v>
      </c>
      <c r="Q151" s="32"/>
      <c r="R151" s="34">
        <v>46292</v>
      </c>
      <c r="S151" s="53"/>
      <c r="T151" s="52"/>
      <c r="U151" s="32"/>
    </row>
    <row r="152" ht="16.5" spans="2:21">
      <c r="B152" s="30">
        <f t="shared" si="2"/>
        <v>150</v>
      </c>
      <c r="C152" s="30" t="s">
        <v>110</v>
      </c>
      <c r="D152" s="31" t="s">
        <v>201</v>
      </c>
      <c r="E152" s="32" t="s">
        <v>32</v>
      </c>
      <c r="F152" s="33"/>
      <c r="G152" s="34"/>
      <c r="H152" s="34">
        <v>46269</v>
      </c>
      <c r="I152" s="35" t="s">
        <v>200</v>
      </c>
      <c r="J152" s="36">
        <v>8500</v>
      </c>
      <c r="K152" s="37"/>
      <c r="L152" s="35"/>
      <c r="M152" s="32">
        <v>300</v>
      </c>
      <c r="N152" s="32"/>
      <c r="O152" s="38" t="s">
        <v>202</v>
      </c>
      <c r="P152" s="32">
        <v>4</v>
      </c>
      <c r="Q152" s="32"/>
      <c r="R152" s="34">
        <v>46269</v>
      </c>
      <c r="S152" s="53"/>
      <c r="T152" s="52"/>
      <c r="U152" s="32"/>
    </row>
    <row r="153" ht="16.5" spans="2:21">
      <c r="B153" s="30">
        <f t="shared" si="2"/>
        <v>151</v>
      </c>
      <c r="C153" s="30" t="s">
        <v>110</v>
      </c>
      <c r="D153" s="31" t="s">
        <v>81</v>
      </c>
      <c r="E153" s="32" t="s">
        <v>32</v>
      </c>
      <c r="F153" s="33"/>
      <c r="G153" s="34"/>
      <c r="H153" s="34">
        <v>46235</v>
      </c>
      <c r="I153" s="35" t="s">
        <v>203</v>
      </c>
      <c r="J153" s="36">
        <v>37000</v>
      </c>
      <c r="K153" s="37"/>
      <c r="L153" s="35"/>
      <c r="M153" s="32">
        <v>740</v>
      </c>
      <c r="N153" s="32"/>
      <c r="O153" s="38"/>
      <c r="P153" s="32">
        <v>1</v>
      </c>
      <c r="Q153" s="32"/>
      <c r="R153" s="34">
        <v>46266</v>
      </c>
      <c r="S153" s="53"/>
      <c r="T153" s="52"/>
      <c r="U153" s="32"/>
    </row>
    <row r="154" ht="16.5" spans="2:21">
      <c r="B154" s="30">
        <f t="shared" si="2"/>
        <v>152</v>
      </c>
      <c r="C154" s="30" t="s">
        <v>110</v>
      </c>
      <c r="D154" s="31" t="s">
        <v>86</v>
      </c>
      <c r="E154" s="32" t="s">
        <v>32</v>
      </c>
      <c r="F154" s="33"/>
      <c r="G154" s="34">
        <v>46180</v>
      </c>
      <c r="H154" s="34">
        <v>46088</v>
      </c>
      <c r="I154" s="35" t="s">
        <v>204</v>
      </c>
      <c r="J154" s="36">
        <v>230000</v>
      </c>
      <c r="K154" s="37"/>
      <c r="L154" s="35"/>
      <c r="M154" s="32">
        <v>3500</v>
      </c>
      <c r="N154" s="32"/>
      <c r="O154" s="38"/>
      <c r="P154" s="32">
        <v>6</v>
      </c>
      <c r="Q154" s="32"/>
      <c r="R154" s="34">
        <v>46271</v>
      </c>
      <c r="S154" s="53"/>
      <c r="T154" s="52"/>
      <c r="U154" s="32"/>
    </row>
    <row r="155" ht="16.5" spans="2:21">
      <c r="B155" s="30">
        <f t="shared" si="2"/>
        <v>153</v>
      </c>
      <c r="C155" s="30" t="s">
        <v>110</v>
      </c>
      <c r="D155" s="31" t="s">
        <v>81</v>
      </c>
      <c r="E155" s="32" t="s">
        <v>32</v>
      </c>
      <c r="F155" s="33"/>
      <c r="G155" s="34">
        <v>45783</v>
      </c>
      <c r="H155" s="34">
        <v>45754</v>
      </c>
      <c r="I155" s="35" t="s">
        <v>205</v>
      </c>
      <c r="J155" s="36">
        <v>30000</v>
      </c>
      <c r="K155" s="37"/>
      <c r="L155" s="35"/>
      <c r="M155" s="32">
        <v>750</v>
      </c>
      <c r="N155" s="32"/>
      <c r="O155" s="38"/>
      <c r="P155" s="32">
        <v>6</v>
      </c>
      <c r="Q155" s="32"/>
      <c r="R155" s="34">
        <v>46271</v>
      </c>
      <c r="S155" s="53"/>
      <c r="T155" s="52"/>
      <c r="U155" s="32"/>
    </row>
    <row r="156" ht="16.5" spans="2:21">
      <c r="B156" s="30">
        <f t="shared" si="2"/>
        <v>154</v>
      </c>
      <c r="C156" s="30" t="s">
        <v>114</v>
      </c>
      <c r="D156" s="32" t="s">
        <v>47</v>
      </c>
      <c r="E156" s="32" t="s">
        <v>32</v>
      </c>
      <c r="F156" s="33">
        <v>45412</v>
      </c>
      <c r="G156" s="33">
        <v>45500</v>
      </c>
      <c r="H156" s="33">
        <v>45412</v>
      </c>
      <c r="I156" s="35" t="s">
        <v>55</v>
      </c>
      <c r="J156" s="32">
        <v>100000</v>
      </c>
      <c r="K156" s="36"/>
      <c r="L156" s="32"/>
      <c r="M156" s="32">
        <v>2500</v>
      </c>
      <c r="N156" s="32"/>
      <c r="O156" s="38"/>
      <c r="P156" s="32">
        <v>20</v>
      </c>
      <c r="Q156" s="32"/>
      <c r="R156" s="33">
        <v>45708</v>
      </c>
      <c r="S156" s="53">
        <v>0.025</v>
      </c>
      <c r="T156" s="52">
        <v>2500</v>
      </c>
      <c r="U156" s="32" t="s">
        <v>30</v>
      </c>
    </row>
    <row r="157" ht="16.5" spans="2:21">
      <c r="B157" s="30">
        <f t="shared" si="2"/>
        <v>155</v>
      </c>
      <c r="C157" s="30" t="s">
        <v>114</v>
      </c>
      <c r="D157" s="32" t="s">
        <v>47</v>
      </c>
      <c r="E157" s="32" t="s">
        <v>32</v>
      </c>
      <c r="F157" s="33">
        <v>45590</v>
      </c>
      <c r="G157" s="33">
        <v>45619</v>
      </c>
      <c r="H157" s="33"/>
      <c r="I157" s="35" t="s">
        <v>55</v>
      </c>
      <c r="J157" s="32">
        <v>200000</v>
      </c>
      <c r="K157" s="36"/>
      <c r="L157" s="32">
        <v>3519252755</v>
      </c>
      <c r="M157" s="32">
        <f>200000*0.025</f>
        <v>5000</v>
      </c>
      <c r="N157" s="32"/>
      <c r="O157" s="38"/>
      <c r="P157" s="32">
        <v>4</v>
      </c>
      <c r="Q157" s="32"/>
      <c r="R157" s="33">
        <v>45692</v>
      </c>
      <c r="S157" s="53">
        <v>0.025</v>
      </c>
      <c r="T157" s="52"/>
      <c r="U157" s="32" t="s">
        <v>30</v>
      </c>
    </row>
    <row r="158" ht="16.5" spans="2:21">
      <c r="B158" s="30">
        <f t="shared" si="2"/>
        <v>156</v>
      </c>
      <c r="C158" s="30" t="s">
        <v>110</v>
      </c>
      <c r="D158" s="31" t="s">
        <v>128</v>
      </c>
      <c r="E158" s="32" t="s">
        <v>32</v>
      </c>
      <c r="F158" s="33"/>
      <c r="G158" s="34">
        <v>45508</v>
      </c>
      <c r="H158" s="34">
        <v>45328</v>
      </c>
      <c r="I158" s="35" t="s">
        <v>206</v>
      </c>
      <c r="J158" s="36">
        <v>500000</v>
      </c>
      <c r="K158" s="37"/>
      <c r="L158" s="35"/>
      <c r="M158" s="32">
        <v>10000</v>
      </c>
      <c r="N158" s="32"/>
      <c r="O158" s="38"/>
      <c r="P158" s="32">
        <v>1</v>
      </c>
      <c r="Q158" s="32"/>
      <c r="R158" s="34">
        <v>46266</v>
      </c>
      <c r="S158" s="53"/>
      <c r="T158" s="52"/>
      <c r="U158" s="32"/>
    </row>
    <row r="159" ht="16.5" spans="2:21">
      <c r="B159" s="30">
        <f t="shared" si="2"/>
        <v>157</v>
      </c>
      <c r="C159" s="30" t="s">
        <v>114</v>
      </c>
      <c r="D159" s="32" t="s">
        <v>47</v>
      </c>
      <c r="E159" s="32" t="s">
        <v>32</v>
      </c>
      <c r="F159" s="33">
        <v>45383</v>
      </c>
      <c r="G159" s="33"/>
      <c r="H159" s="33">
        <v>45383</v>
      </c>
      <c r="I159" s="35" t="s">
        <v>53</v>
      </c>
      <c r="J159" s="32">
        <f>50000-10000</f>
        <v>40000</v>
      </c>
      <c r="K159" s="36"/>
      <c r="L159" s="32">
        <v>3519228936</v>
      </c>
      <c r="M159" s="32">
        <f>J159*0.025</f>
        <v>1000</v>
      </c>
      <c r="N159" s="32"/>
      <c r="O159" s="38"/>
      <c r="P159" s="32">
        <v>10</v>
      </c>
      <c r="Q159" s="32"/>
      <c r="R159" s="33">
        <v>46275</v>
      </c>
      <c r="S159" s="53">
        <v>0.025</v>
      </c>
      <c r="T159" s="52">
        <v>2000</v>
      </c>
      <c r="U159" s="32" t="s">
        <v>30</v>
      </c>
    </row>
    <row r="160" ht="16.5" spans="2:21">
      <c r="B160" s="30">
        <f t="shared" si="2"/>
        <v>158</v>
      </c>
      <c r="C160" s="30" t="s">
        <v>110</v>
      </c>
      <c r="D160" s="31" t="s">
        <v>81</v>
      </c>
      <c r="E160" s="32" t="s">
        <v>32</v>
      </c>
      <c r="F160" s="33"/>
      <c r="G160" s="34"/>
      <c r="H160" s="34">
        <v>46136</v>
      </c>
      <c r="I160" s="35" t="s">
        <v>207</v>
      </c>
      <c r="J160" s="36">
        <v>11000</v>
      </c>
      <c r="K160" s="37"/>
      <c r="L160" s="35"/>
      <c r="M160" s="32">
        <v>220</v>
      </c>
      <c r="N160" s="32"/>
      <c r="O160" s="38"/>
      <c r="P160" s="32">
        <v>23</v>
      </c>
      <c r="Q160" s="32"/>
      <c r="R160" s="34">
        <v>46288</v>
      </c>
      <c r="S160" s="53"/>
      <c r="T160" s="52"/>
      <c r="U160" s="32"/>
    </row>
    <row r="161" ht="16.5" spans="2:21">
      <c r="B161" s="30">
        <f t="shared" si="2"/>
        <v>159</v>
      </c>
      <c r="C161" s="30" t="s">
        <v>110</v>
      </c>
      <c r="D161" s="31" t="s">
        <v>81</v>
      </c>
      <c r="E161" s="32" t="s">
        <v>32</v>
      </c>
      <c r="F161" s="33"/>
      <c r="G161" s="34"/>
      <c r="H161" s="34">
        <v>46206</v>
      </c>
      <c r="I161" s="35" t="s">
        <v>207</v>
      </c>
      <c r="J161" s="36">
        <v>5000</v>
      </c>
      <c r="K161" s="37"/>
      <c r="L161" s="35"/>
      <c r="M161" s="32">
        <v>200</v>
      </c>
      <c r="N161" s="32"/>
      <c r="O161" s="38"/>
      <c r="P161" s="32">
        <v>3</v>
      </c>
      <c r="Q161" s="32"/>
      <c r="R161" s="34">
        <v>46268</v>
      </c>
      <c r="S161" s="53"/>
      <c r="T161" s="52"/>
      <c r="U161" s="32"/>
    </row>
    <row r="162" ht="16.5" spans="2:21">
      <c r="B162" s="30">
        <f t="shared" si="2"/>
        <v>160</v>
      </c>
      <c r="C162" s="30" t="s">
        <v>114</v>
      </c>
      <c r="D162" s="32" t="s">
        <v>81</v>
      </c>
      <c r="E162" s="32" t="s">
        <v>32</v>
      </c>
      <c r="F162" s="33">
        <v>46174</v>
      </c>
      <c r="G162" s="33">
        <v>46353</v>
      </c>
      <c r="H162" s="33"/>
      <c r="I162" s="35" t="s">
        <v>88</v>
      </c>
      <c r="J162" s="32">
        <v>208000</v>
      </c>
      <c r="K162" s="36"/>
      <c r="L162" s="35">
        <v>3524019231</v>
      </c>
      <c r="M162" s="32">
        <v>5200</v>
      </c>
      <c r="N162" s="32">
        <f>J162*S162</f>
        <v>936</v>
      </c>
      <c r="O162" s="38"/>
      <c r="P162" s="32">
        <v>30</v>
      </c>
      <c r="Q162" s="32"/>
      <c r="R162" s="33">
        <v>46295</v>
      </c>
      <c r="S162" s="53">
        <v>0.0045</v>
      </c>
      <c r="T162" s="52"/>
      <c r="U162" s="32"/>
    </row>
    <row r="163" ht="16.5" spans="2:21">
      <c r="B163" s="30">
        <f t="shared" si="2"/>
        <v>161</v>
      </c>
      <c r="C163" s="30" t="s">
        <v>110</v>
      </c>
      <c r="D163" s="31" t="s">
        <v>128</v>
      </c>
      <c r="E163" s="32" t="s">
        <v>28</v>
      </c>
      <c r="F163" s="33"/>
      <c r="G163" s="34">
        <v>45927</v>
      </c>
      <c r="H163" s="34">
        <v>45898</v>
      </c>
      <c r="I163" s="35" t="s">
        <v>208</v>
      </c>
      <c r="J163" s="36">
        <v>400000</v>
      </c>
      <c r="K163" s="37"/>
      <c r="L163" s="35"/>
      <c r="M163" s="32">
        <v>9200</v>
      </c>
      <c r="N163" s="32"/>
      <c r="O163" s="38"/>
      <c r="P163" s="32">
        <v>1</v>
      </c>
      <c r="Q163" s="32"/>
      <c r="R163" s="34">
        <v>45992</v>
      </c>
      <c r="S163" s="53"/>
      <c r="T163" s="52"/>
      <c r="U163" s="32"/>
    </row>
    <row r="164" ht="16.5" spans="2:21">
      <c r="B164" s="30">
        <f t="shared" si="2"/>
        <v>162</v>
      </c>
      <c r="C164" s="30" t="s">
        <v>110</v>
      </c>
      <c r="D164" s="31" t="s">
        <v>128</v>
      </c>
      <c r="E164" s="32" t="s">
        <v>28</v>
      </c>
      <c r="F164" s="33"/>
      <c r="G164" s="34">
        <v>45941</v>
      </c>
      <c r="H164" s="34">
        <v>45912</v>
      </c>
      <c r="I164" s="35" t="s">
        <v>208</v>
      </c>
      <c r="J164" s="36">
        <v>200000</v>
      </c>
      <c r="K164" s="37"/>
      <c r="L164" s="35"/>
      <c r="M164" s="32">
        <v>4600</v>
      </c>
      <c r="N164" s="32"/>
      <c r="O164" s="38"/>
      <c r="P164" s="32">
        <v>12</v>
      </c>
      <c r="Q164" s="32"/>
      <c r="R164" s="34">
        <v>46003</v>
      </c>
      <c r="S164" s="53"/>
      <c r="T164" s="52"/>
      <c r="U164" s="32"/>
    </row>
    <row r="165" ht="16.5" spans="2:21">
      <c r="B165" s="30">
        <f t="shared" si="2"/>
        <v>163</v>
      </c>
      <c r="C165" s="30" t="s">
        <v>110</v>
      </c>
      <c r="D165" s="31" t="s">
        <v>128</v>
      </c>
      <c r="E165" s="32" t="s">
        <v>28</v>
      </c>
      <c r="F165" s="33"/>
      <c r="G165" s="34">
        <v>45969</v>
      </c>
      <c r="H165" s="34">
        <v>45939</v>
      </c>
      <c r="I165" s="35" t="s">
        <v>208</v>
      </c>
      <c r="J165" s="36">
        <v>100000</v>
      </c>
      <c r="K165" s="37"/>
      <c r="L165" s="35"/>
      <c r="M165" s="32">
        <v>2300</v>
      </c>
      <c r="N165" s="32"/>
      <c r="O165" s="38"/>
      <c r="P165" s="32">
        <v>9</v>
      </c>
      <c r="Q165" s="32"/>
      <c r="R165" s="34">
        <v>46000</v>
      </c>
      <c r="S165" s="53"/>
      <c r="T165" s="52"/>
      <c r="U165" s="32"/>
    </row>
    <row r="166" ht="16.5" spans="2:21">
      <c r="B166" s="30">
        <f t="shared" si="2"/>
        <v>164</v>
      </c>
      <c r="C166" s="30" t="s">
        <v>114</v>
      </c>
      <c r="D166" s="32" t="s">
        <v>47</v>
      </c>
      <c r="E166" s="32" t="s">
        <v>32</v>
      </c>
      <c r="F166" s="33">
        <v>46225</v>
      </c>
      <c r="G166" s="33">
        <v>46314</v>
      </c>
      <c r="H166" s="33"/>
      <c r="I166" s="35" t="s">
        <v>97</v>
      </c>
      <c r="J166" s="32">
        <f>60000+140000</f>
        <v>200000</v>
      </c>
      <c r="K166" s="36"/>
      <c r="L166" s="35">
        <v>3524019241</v>
      </c>
      <c r="M166" s="32">
        <f>200000*0.023</f>
        <v>4600</v>
      </c>
      <c r="N166" s="32"/>
      <c r="O166" s="38"/>
      <c r="P166" s="32">
        <v>30</v>
      </c>
      <c r="Q166" s="32"/>
      <c r="R166" s="33">
        <v>46295</v>
      </c>
      <c r="S166" s="53">
        <v>0.023</v>
      </c>
      <c r="T166" s="52"/>
      <c r="U166" s="32"/>
    </row>
    <row r="167" ht="16.5" spans="2:21">
      <c r="B167" s="30">
        <f t="shared" si="2"/>
        <v>165</v>
      </c>
      <c r="C167" s="30" t="s">
        <v>110</v>
      </c>
      <c r="D167" s="31" t="s">
        <v>81</v>
      </c>
      <c r="E167" s="32" t="s">
        <v>32</v>
      </c>
      <c r="F167" s="33"/>
      <c r="G167" s="34">
        <v>46153</v>
      </c>
      <c r="H167" s="34">
        <v>46124</v>
      </c>
      <c r="I167" s="35" t="s">
        <v>209</v>
      </c>
      <c r="J167" s="36">
        <v>47000</v>
      </c>
      <c r="K167" s="37"/>
      <c r="L167" s="35"/>
      <c r="M167" s="32">
        <v>850</v>
      </c>
      <c r="N167" s="32"/>
      <c r="O167" s="38"/>
      <c r="P167" s="32">
        <v>11</v>
      </c>
      <c r="Q167" s="32"/>
      <c r="R167" s="34">
        <v>46276</v>
      </c>
      <c r="S167" s="53"/>
      <c r="T167" s="52"/>
      <c r="U167" s="32"/>
    </row>
    <row r="168" ht="16.5" spans="2:21">
      <c r="B168" s="30">
        <f t="shared" si="2"/>
        <v>166</v>
      </c>
      <c r="C168" s="30" t="s">
        <v>110</v>
      </c>
      <c r="D168" s="31" t="s">
        <v>81</v>
      </c>
      <c r="E168" s="32" t="s">
        <v>32</v>
      </c>
      <c r="F168" s="33"/>
      <c r="G168" s="34">
        <v>46155</v>
      </c>
      <c r="H168" s="34">
        <v>46126</v>
      </c>
      <c r="I168" s="35" t="s">
        <v>209</v>
      </c>
      <c r="J168" s="36">
        <v>15000</v>
      </c>
      <c r="K168" s="37"/>
      <c r="L168" s="35"/>
      <c r="M168" s="32">
        <v>270</v>
      </c>
      <c r="N168" s="32"/>
      <c r="O168" s="38"/>
      <c r="P168" s="32">
        <v>13</v>
      </c>
      <c r="Q168" s="32"/>
      <c r="R168" s="34">
        <v>46278</v>
      </c>
      <c r="S168" s="53"/>
      <c r="T168" s="52"/>
      <c r="U168" s="32"/>
    </row>
    <row r="169" ht="16.5" spans="2:21">
      <c r="B169" s="30">
        <f t="shared" si="2"/>
        <v>167</v>
      </c>
      <c r="C169" s="30" t="s">
        <v>110</v>
      </c>
      <c r="D169" s="31" t="s">
        <v>81</v>
      </c>
      <c r="E169" s="32" t="s">
        <v>32</v>
      </c>
      <c r="F169" s="33"/>
      <c r="G169" s="34"/>
      <c r="H169" s="34">
        <v>46253</v>
      </c>
      <c r="I169" s="35" t="s">
        <v>210</v>
      </c>
      <c r="J169" s="36">
        <v>15000</v>
      </c>
      <c r="K169" s="37"/>
      <c r="L169" s="35"/>
      <c r="M169" s="32">
        <v>375</v>
      </c>
      <c r="N169" s="32"/>
      <c r="O169" s="38"/>
      <c r="P169" s="32">
        <v>17</v>
      </c>
      <c r="Q169" s="32"/>
      <c r="R169" s="34">
        <v>46282</v>
      </c>
      <c r="S169" s="53"/>
      <c r="T169" s="52"/>
      <c r="U169" s="32"/>
    </row>
    <row r="170" ht="16.5" spans="2:21">
      <c r="B170" s="30">
        <f t="shared" si="2"/>
        <v>168</v>
      </c>
      <c r="C170" s="30" t="s">
        <v>114</v>
      </c>
      <c r="D170" s="32" t="s">
        <v>81</v>
      </c>
      <c r="E170" s="32" t="s">
        <v>32</v>
      </c>
      <c r="F170" s="33">
        <v>46275</v>
      </c>
      <c r="G170" s="33">
        <v>46090</v>
      </c>
      <c r="H170" s="33"/>
      <c r="I170" s="35" t="s">
        <v>101</v>
      </c>
      <c r="J170" s="32">
        <v>70000</v>
      </c>
      <c r="K170" s="36"/>
      <c r="L170" s="35">
        <v>3524019249</v>
      </c>
      <c r="M170" s="32">
        <f>J170*0.02</f>
        <v>1400</v>
      </c>
      <c r="N170" s="32">
        <f>J170*S170</f>
        <v>210</v>
      </c>
      <c r="O170" s="38"/>
      <c r="P170" s="32">
        <v>10</v>
      </c>
      <c r="Q170" s="32"/>
      <c r="R170" s="33">
        <v>46275</v>
      </c>
      <c r="S170" s="53">
        <v>0.003</v>
      </c>
      <c r="T170" s="52"/>
      <c r="U170" s="32"/>
    </row>
    <row r="171" ht="16.5" spans="2:21">
      <c r="B171" s="30">
        <f t="shared" si="2"/>
        <v>169</v>
      </c>
      <c r="C171" s="30" t="s">
        <v>110</v>
      </c>
      <c r="D171" s="31" t="s">
        <v>81</v>
      </c>
      <c r="E171" s="32" t="s">
        <v>32</v>
      </c>
      <c r="F171" s="33"/>
      <c r="G171" s="34">
        <v>45638</v>
      </c>
      <c r="H171" s="34">
        <v>45609</v>
      </c>
      <c r="I171" s="35" t="s">
        <v>211</v>
      </c>
      <c r="J171" s="36">
        <v>10000</v>
      </c>
      <c r="K171" s="37"/>
      <c r="L171" s="35"/>
      <c r="M171" s="32">
        <v>250</v>
      </c>
      <c r="N171" s="32"/>
      <c r="O171" s="38"/>
      <c r="P171" s="32">
        <v>13</v>
      </c>
      <c r="Q171" s="32"/>
      <c r="R171" s="34">
        <v>46278</v>
      </c>
      <c r="S171" s="53"/>
      <c r="T171" s="52"/>
      <c r="U171" s="32"/>
    </row>
    <row r="172" ht="16.5" spans="2:21">
      <c r="B172" s="30">
        <f t="shared" si="2"/>
        <v>170</v>
      </c>
      <c r="C172" s="30" t="s">
        <v>110</v>
      </c>
      <c r="D172" s="31" t="s">
        <v>81</v>
      </c>
      <c r="E172" s="32" t="s">
        <v>32</v>
      </c>
      <c r="F172" s="33"/>
      <c r="G172" s="34">
        <v>45983</v>
      </c>
      <c r="H172" s="34">
        <v>45954</v>
      </c>
      <c r="I172" s="35" t="s">
        <v>212</v>
      </c>
      <c r="J172" s="36">
        <v>52000</v>
      </c>
      <c r="K172" s="37"/>
      <c r="L172" s="35"/>
      <c r="M172" s="32">
        <v>1300</v>
      </c>
      <c r="N172" s="32"/>
      <c r="O172" s="38"/>
      <c r="P172" s="32">
        <v>23</v>
      </c>
      <c r="Q172" s="32"/>
      <c r="R172" s="34">
        <v>46288</v>
      </c>
      <c r="S172" s="53"/>
      <c r="T172" s="52"/>
      <c r="U172" s="32"/>
    </row>
    <row r="173" ht="16.5" spans="2:21">
      <c r="B173" s="30">
        <f t="shared" si="2"/>
        <v>171</v>
      </c>
      <c r="C173" s="30" t="s">
        <v>110</v>
      </c>
      <c r="D173" s="31" t="s">
        <v>128</v>
      </c>
      <c r="E173" s="32" t="s">
        <v>32</v>
      </c>
      <c r="F173" s="33"/>
      <c r="G173" s="34">
        <v>46031</v>
      </c>
      <c r="H173" s="34">
        <v>45941</v>
      </c>
      <c r="I173" s="35" t="s">
        <v>213</v>
      </c>
      <c r="J173" s="36">
        <v>200000</v>
      </c>
      <c r="K173" s="37"/>
      <c r="L173" s="35"/>
      <c r="M173" s="32">
        <v>3600</v>
      </c>
      <c r="N173" s="32"/>
      <c r="O173" s="38"/>
      <c r="P173" s="32">
        <v>10</v>
      </c>
      <c r="Q173" s="32"/>
      <c r="R173" s="34">
        <v>46275</v>
      </c>
      <c r="S173" s="53"/>
      <c r="T173" s="52"/>
      <c r="U173" s="32"/>
    </row>
    <row r="174" ht="16.5" spans="2:21">
      <c r="B174" s="30">
        <f t="shared" si="2"/>
        <v>172</v>
      </c>
      <c r="C174" s="30" t="s">
        <v>110</v>
      </c>
      <c r="D174" s="31" t="s">
        <v>128</v>
      </c>
      <c r="E174" s="32" t="s">
        <v>32</v>
      </c>
      <c r="F174" s="33"/>
      <c r="G174" s="34">
        <v>46170</v>
      </c>
      <c r="H174" s="34">
        <v>46141</v>
      </c>
      <c r="I174" s="35" t="s">
        <v>213</v>
      </c>
      <c r="J174" s="36">
        <v>50000</v>
      </c>
      <c r="K174" s="37"/>
      <c r="L174" s="35"/>
      <c r="M174" s="32">
        <v>900</v>
      </c>
      <c r="N174" s="32"/>
      <c r="O174" s="38"/>
      <c r="P174" s="32">
        <v>28</v>
      </c>
      <c r="Q174" s="32"/>
      <c r="R174" s="34">
        <v>46293</v>
      </c>
      <c r="S174" s="53"/>
      <c r="T174" s="52"/>
      <c r="U174" s="32"/>
    </row>
    <row r="175" ht="16.5" spans="2:21">
      <c r="B175" s="30">
        <f t="shared" si="2"/>
        <v>173</v>
      </c>
      <c r="C175" s="30" t="s">
        <v>110</v>
      </c>
      <c r="D175" s="3" t="s">
        <v>149</v>
      </c>
      <c r="E175" s="32"/>
      <c r="F175" s="33"/>
      <c r="G175" s="34"/>
      <c r="H175" s="34">
        <v>46240</v>
      </c>
      <c r="I175" s="35" t="s">
        <v>214</v>
      </c>
      <c r="J175" s="36">
        <v>1100000</v>
      </c>
      <c r="K175" s="37"/>
      <c r="L175" s="35"/>
      <c r="M175" s="32">
        <v>5850</v>
      </c>
      <c r="N175" s="32"/>
      <c r="O175" s="38"/>
      <c r="P175" s="32">
        <v>6</v>
      </c>
      <c r="Q175" s="32"/>
      <c r="R175" s="34">
        <v>46240</v>
      </c>
      <c r="S175" s="53"/>
      <c r="T175" s="52"/>
      <c r="U175" s="32"/>
    </row>
    <row r="176" ht="16.5" spans="2:21">
      <c r="B176" s="30">
        <f t="shared" si="2"/>
        <v>174</v>
      </c>
      <c r="C176" s="30" t="s">
        <v>110</v>
      </c>
      <c r="D176" s="3" t="s">
        <v>149</v>
      </c>
      <c r="E176" s="32"/>
      <c r="F176" s="33"/>
      <c r="G176" s="34"/>
      <c r="H176" s="34">
        <v>46274</v>
      </c>
      <c r="I176" s="35" t="s">
        <v>214</v>
      </c>
      <c r="J176" s="36">
        <v>820000</v>
      </c>
      <c r="K176" s="37"/>
      <c r="L176" s="35"/>
      <c r="M176" s="32">
        <v>2460</v>
      </c>
      <c r="N176" s="32"/>
      <c r="O176" s="38"/>
      <c r="P176" s="32">
        <v>9</v>
      </c>
      <c r="Q176" s="32"/>
      <c r="R176" s="34">
        <v>46274</v>
      </c>
      <c r="S176" s="53"/>
      <c r="T176" s="52"/>
      <c r="U176" s="32"/>
    </row>
    <row r="177" ht="16.5" spans="2:21">
      <c r="B177" s="30">
        <f t="shared" si="2"/>
        <v>175</v>
      </c>
      <c r="C177" s="30" t="s">
        <v>110</v>
      </c>
      <c r="D177" s="31" t="s">
        <v>81</v>
      </c>
      <c r="E177" s="32" t="s">
        <v>32</v>
      </c>
      <c r="F177" s="33"/>
      <c r="G177" s="34"/>
      <c r="H177" s="34">
        <v>46200</v>
      </c>
      <c r="I177" s="35" t="s">
        <v>139</v>
      </c>
      <c r="J177" s="36">
        <v>18000</v>
      </c>
      <c r="K177" s="37"/>
      <c r="L177" s="35"/>
      <c r="M177" s="32">
        <v>450</v>
      </c>
      <c r="N177" s="32"/>
      <c r="O177" s="38" t="s">
        <v>215</v>
      </c>
      <c r="P177" s="32">
        <v>26</v>
      </c>
      <c r="Q177" s="32"/>
      <c r="R177" s="34">
        <v>46291</v>
      </c>
      <c r="S177" s="53"/>
      <c r="T177" s="52"/>
      <c r="U177" s="32"/>
    </row>
    <row r="178" ht="16.5" spans="2:21">
      <c r="B178" s="30">
        <f t="shared" si="2"/>
        <v>176</v>
      </c>
      <c r="C178" s="30" t="s">
        <v>110</v>
      </c>
      <c r="D178" s="31" t="s">
        <v>81</v>
      </c>
      <c r="E178" s="32" t="s">
        <v>32</v>
      </c>
      <c r="F178" s="33"/>
      <c r="G178" s="34"/>
      <c r="H178" s="34">
        <v>46271</v>
      </c>
      <c r="I178" s="35" t="s">
        <v>139</v>
      </c>
      <c r="J178" s="36">
        <v>15000</v>
      </c>
      <c r="K178" s="37"/>
      <c r="L178" s="35"/>
      <c r="M178" s="32">
        <v>375</v>
      </c>
      <c r="N178" s="32"/>
      <c r="O178" s="38"/>
      <c r="P178" s="32">
        <v>6</v>
      </c>
      <c r="Q178" s="32"/>
      <c r="R178" s="34">
        <v>46271</v>
      </c>
      <c r="S178" s="53"/>
      <c r="T178" s="52"/>
      <c r="U178" s="32"/>
    </row>
    <row r="179" ht="16.5" spans="2:21">
      <c r="B179" s="30">
        <f t="shared" si="2"/>
        <v>177</v>
      </c>
      <c r="C179" s="30" t="s">
        <v>110</v>
      </c>
      <c r="D179" s="31" t="s">
        <v>81</v>
      </c>
      <c r="E179" s="32" t="s">
        <v>32</v>
      </c>
      <c r="F179" s="33"/>
      <c r="G179" s="34"/>
      <c r="H179" s="34">
        <v>46272</v>
      </c>
      <c r="I179" s="35" t="s">
        <v>139</v>
      </c>
      <c r="J179" s="36">
        <v>15000</v>
      </c>
      <c r="K179" s="37"/>
      <c r="L179" s="35"/>
      <c r="M179" s="32">
        <v>375</v>
      </c>
      <c r="N179" s="32"/>
      <c r="O179" s="38"/>
      <c r="P179" s="32">
        <v>7</v>
      </c>
      <c r="Q179" s="32"/>
      <c r="R179" s="34">
        <v>46272</v>
      </c>
      <c r="S179" s="53"/>
      <c r="T179" s="52"/>
      <c r="U179" s="32"/>
    </row>
    <row r="180" ht="16.5" spans="2:21">
      <c r="B180" s="30">
        <f t="shared" si="2"/>
        <v>178</v>
      </c>
      <c r="C180" s="30" t="s">
        <v>114</v>
      </c>
      <c r="D180" s="32" t="s">
        <v>47</v>
      </c>
      <c r="E180" s="32" t="s">
        <v>32</v>
      </c>
      <c r="F180" s="33">
        <v>45419</v>
      </c>
      <c r="G180" s="33">
        <v>45478</v>
      </c>
      <c r="H180" s="33">
        <v>45421</v>
      </c>
      <c r="I180" s="35" t="s">
        <v>56</v>
      </c>
      <c r="J180" s="32">
        <f>100000-50000-2250-2250-2250-2250-2250-2250</f>
        <v>36500</v>
      </c>
      <c r="K180" s="36"/>
      <c r="L180" s="32"/>
      <c r="M180" s="32">
        <f>J180*S180</f>
        <v>912.5</v>
      </c>
      <c r="N180" s="32"/>
      <c r="O180" s="38"/>
      <c r="P180" s="32">
        <v>15</v>
      </c>
      <c r="Q180" s="32"/>
      <c r="R180" s="33">
        <v>46280</v>
      </c>
      <c r="S180" s="53">
        <v>0.025</v>
      </c>
      <c r="T180" s="52">
        <v>2500</v>
      </c>
      <c r="U180" s="32" t="s">
        <v>30</v>
      </c>
    </row>
    <row r="181" ht="16.5" spans="2:21">
      <c r="B181" s="30">
        <f t="shared" si="2"/>
        <v>179</v>
      </c>
      <c r="C181" s="30" t="s">
        <v>110</v>
      </c>
      <c r="D181" s="31" t="s">
        <v>81</v>
      </c>
      <c r="E181" s="32" t="s">
        <v>32</v>
      </c>
      <c r="F181" s="33"/>
      <c r="G181" s="34"/>
      <c r="H181" s="34">
        <v>46152</v>
      </c>
      <c r="I181" s="35" t="s">
        <v>216</v>
      </c>
      <c r="J181" s="36">
        <v>2000</v>
      </c>
      <c r="K181" s="37"/>
      <c r="L181" s="35"/>
      <c r="M181" s="32">
        <v>100</v>
      </c>
      <c r="N181" s="32"/>
      <c r="O181" s="38"/>
      <c r="P181" s="32">
        <v>9</v>
      </c>
      <c r="Q181" s="32"/>
      <c r="R181" s="34">
        <v>46274</v>
      </c>
      <c r="S181" s="53"/>
      <c r="T181" s="52"/>
      <c r="U181" s="32"/>
    </row>
    <row r="182" ht="16.5" spans="2:21">
      <c r="B182" s="30">
        <f t="shared" si="2"/>
        <v>180</v>
      </c>
      <c r="C182" s="30" t="s">
        <v>114</v>
      </c>
      <c r="D182" s="32" t="s">
        <v>47</v>
      </c>
      <c r="E182" s="32" t="s">
        <v>122</v>
      </c>
      <c r="F182" s="33">
        <v>44587</v>
      </c>
      <c r="G182" s="33"/>
      <c r="H182" s="33">
        <v>45256</v>
      </c>
      <c r="I182" s="32" t="s">
        <v>37</v>
      </c>
      <c r="J182" s="54">
        <f>95000-35000-20000</f>
        <v>40000</v>
      </c>
      <c r="K182" s="36"/>
      <c r="L182" s="32">
        <v>3519156586</v>
      </c>
      <c r="M182" s="32">
        <v>1500</v>
      </c>
      <c r="N182" s="32"/>
      <c r="O182" s="38"/>
      <c r="P182" s="32">
        <v>26</v>
      </c>
      <c r="Q182" s="32"/>
      <c r="R182" s="33">
        <v>45834</v>
      </c>
      <c r="S182" s="53">
        <v>0.025</v>
      </c>
      <c r="T182" s="52">
        <v>2500</v>
      </c>
      <c r="U182" s="32" t="s">
        <v>30</v>
      </c>
    </row>
    <row r="183" ht="16.5" spans="2:21">
      <c r="B183" s="30">
        <f t="shared" si="2"/>
        <v>181</v>
      </c>
      <c r="C183" s="30" t="s">
        <v>110</v>
      </c>
      <c r="D183" s="31" t="s">
        <v>157</v>
      </c>
      <c r="E183" s="32" t="s">
        <v>32</v>
      </c>
      <c r="F183" s="33"/>
      <c r="G183" s="64">
        <v>46324</v>
      </c>
      <c r="H183" s="34">
        <v>46265</v>
      </c>
      <c r="I183" s="35" t="s">
        <v>217</v>
      </c>
      <c r="J183" s="36">
        <v>100000</v>
      </c>
      <c r="K183" s="37"/>
      <c r="L183" s="35"/>
      <c r="M183" s="32">
        <v>2500</v>
      </c>
      <c r="N183" s="32"/>
      <c r="O183" s="38"/>
      <c r="P183" s="32">
        <v>29</v>
      </c>
      <c r="Q183" s="32"/>
      <c r="R183" s="34">
        <v>46294</v>
      </c>
      <c r="S183" s="53"/>
      <c r="T183" s="52"/>
      <c r="U183" s="32"/>
    </row>
    <row r="184" ht="16.5" spans="2:21">
      <c r="B184" s="30">
        <f t="shared" si="2"/>
        <v>182</v>
      </c>
      <c r="C184" s="30" t="s">
        <v>110</v>
      </c>
      <c r="D184" s="31" t="s">
        <v>81</v>
      </c>
      <c r="E184" s="32" t="s">
        <v>32</v>
      </c>
      <c r="F184" s="33"/>
      <c r="G184" s="34"/>
      <c r="H184" s="34">
        <v>45469</v>
      </c>
      <c r="I184" s="35" t="s">
        <v>218</v>
      </c>
      <c r="J184" s="36">
        <v>4500</v>
      </c>
      <c r="K184" s="37"/>
      <c r="L184" s="35"/>
      <c r="M184" s="32">
        <v>200</v>
      </c>
      <c r="N184" s="32"/>
      <c r="O184" s="38"/>
      <c r="P184" s="32">
        <v>26</v>
      </c>
      <c r="Q184" s="32"/>
      <c r="R184" s="34">
        <v>46291</v>
      </c>
      <c r="S184" s="53"/>
      <c r="T184" s="52"/>
      <c r="U184" s="32"/>
    </row>
    <row r="185" ht="16.5" spans="2:21">
      <c r="B185" s="30">
        <f t="shared" si="2"/>
        <v>183</v>
      </c>
      <c r="C185" s="30" t="s">
        <v>110</v>
      </c>
      <c r="D185" s="31" t="s">
        <v>219</v>
      </c>
      <c r="E185" s="32" t="s">
        <v>32</v>
      </c>
      <c r="F185" s="33"/>
      <c r="G185" s="34"/>
      <c r="H185" s="34">
        <v>45470</v>
      </c>
      <c r="I185" s="35" t="s">
        <v>218</v>
      </c>
      <c r="J185" s="36">
        <v>10000</v>
      </c>
      <c r="K185" s="37"/>
      <c r="L185" s="35"/>
      <c r="M185" s="32">
        <v>700</v>
      </c>
      <c r="N185" s="32"/>
      <c r="O185" s="38"/>
      <c r="P185" s="32">
        <v>26</v>
      </c>
      <c r="Q185" s="32"/>
      <c r="R185" s="34">
        <v>45895</v>
      </c>
      <c r="S185" s="53"/>
      <c r="T185" s="52"/>
      <c r="U185" s="32"/>
    </row>
    <row r="186" ht="16.5" spans="2:21">
      <c r="B186" s="30">
        <f t="shared" si="2"/>
        <v>184</v>
      </c>
      <c r="C186" s="30" t="s">
        <v>110</v>
      </c>
      <c r="D186" s="31" t="s">
        <v>81</v>
      </c>
      <c r="E186" s="32" t="s">
        <v>32</v>
      </c>
      <c r="F186" s="33"/>
      <c r="G186" s="34"/>
      <c r="H186" s="34">
        <v>45472</v>
      </c>
      <c r="I186" s="35" t="s">
        <v>218</v>
      </c>
      <c r="J186" s="36">
        <v>5000</v>
      </c>
      <c r="K186" s="37"/>
      <c r="L186" s="35"/>
      <c r="M186" s="32">
        <v>200</v>
      </c>
      <c r="N186" s="32"/>
      <c r="O186" s="38"/>
      <c r="P186" s="32">
        <v>29</v>
      </c>
      <c r="Q186" s="32"/>
      <c r="R186" s="34">
        <v>46294</v>
      </c>
      <c r="S186" s="53"/>
      <c r="T186" s="52"/>
      <c r="U186" s="32"/>
    </row>
    <row r="187" ht="16.5" spans="2:21">
      <c r="B187" s="30">
        <f t="shared" si="2"/>
        <v>185</v>
      </c>
      <c r="C187" s="30" t="s">
        <v>110</v>
      </c>
      <c r="D187" s="31" t="s">
        <v>81</v>
      </c>
      <c r="E187" s="32" t="s">
        <v>32</v>
      </c>
      <c r="F187" s="33"/>
      <c r="G187" s="34"/>
      <c r="H187" s="34">
        <v>45476</v>
      </c>
      <c r="I187" s="35" t="s">
        <v>218</v>
      </c>
      <c r="J187" s="36">
        <v>8000</v>
      </c>
      <c r="K187" s="37"/>
      <c r="L187" s="35"/>
      <c r="M187" s="32">
        <v>240</v>
      </c>
      <c r="N187" s="32"/>
      <c r="O187" s="38"/>
      <c r="P187" s="32">
        <v>3</v>
      </c>
      <c r="Q187" s="32"/>
      <c r="R187" s="34">
        <v>46268</v>
      </c>
      <c r="S187" s="53"/>
      <c r="T187" s="52"/>
      <c r="U187" s="32"/>
    </row>
    <row r="188" ht="16.5" spans="2:21">
      <c r="B188" s="30">
        <f t="shared" si="2"/>
        <v>186</v>
      </c>
      <c r="C188" s="30" t="s">
        <v>110</v>
      </c>
      <c r="D188" s="31" t="s">
        <v>81</v>
      </c>
      <c r="E188" s="32" t="s">
        <v>32</v>
      </c>
      <c r="F188" s="33"/>
      <c r="G188" s="34"/>
      <c r="H188" s="34">
        <v>45550</v>
      </c>
      <c r="I188" s="35" t="s">
        <v>218</v>
      </c>
      <c r="J188" s="36">
        <v>3000</v>
      </c>
      <c r="K188" s="37"/>
      <c r="L188" s="35"/>
      <c r="M188" s="32">
        <v>100</v>
      </c>
      <c r="N188" s="32"/>
      <c r="O188" s="38"/>
      <c r="P188" s="32">
        <v>15</v>
      </c>
      <c r="Q188" s="32"/>
      <c r="R188" s="34">
        <v>46249</v>
      </c>
      <c r="S188" s="53"/>
      <c r="T188" s="52"/>
      <c r="U188" s="32"/>
    </row>
    <row r="189" ht="16.5" spans="2:21">
      <c r="B189" s="30">
        <f t="shared" si="2"/>
        <v>187</v>
      </c>
      <c r="C189" s="30" t="s">
        <v>110</v>
      </c>
      <c r="D189" s="31" t="s">
        <v>220</v>
      </c>
      <c r="E189" s="32" t="s">
        <v>32</v>
      </c>
      <c r="F189" s="33"/>
      <c r="G189" s="34"/>
      <c r="H189" s="34">
        <v>45569</v>
      </c>
      <c r="I189" s="35" t="s">
        <v>218</v>
      </c>
      <c r="J189" s="36">
        <v>1000</v>
      </c>
      <c r="K189" s="37"/>
      <c r="L189" s="35"/>
      <c r="M189" s="32">
        <v>50</v>
      </c>
      <c r="N189" s="32"/>
      <c r="O189" s="38"/>
      <c r="P189" s="32">
        <v>4</v>
      </c>
      <c r="Q189" s="32"/>
      <c r="R189" s="34">
        <v>46269</v>
      </c>
      <c r="S189" s="53"/>
      <c r="T189" s="52"/>
      <c r="U189" s="32"/>
    </row>
    <row r="190" ht="16.5" spans="2:21">
      <c r="B190" s="30">
        <f t="shared" si="2"/>
        <v>188</v>
      </c>
      <c r="C190" s="30" t="s">
        <v>110</v>
      </c>
      <c r="D190" s="31" t="s">
        <v>221</v>
      </c>
      <c r="E190" s="32" t="s">
        <v>32</v>
      </c>
      <c r="F190" s="33"/>
      <c r="G190" s="34">
        <v>46283</v>
      </c>
      <c r="H190" s="34">
        <v>46100</v>
      </c>
      <c r="I190" s="35" t="s">
        <v>222</v>
      </c>
      <c r="J190" s="36">
        <v>150000</v>
      </c>
      <c r="K190" s="37"/>
      <c r="L190" s="35"/>
      <c r="M190" s="32">
        <v>2250</v>
      </c>
      <c r="N190" s="32"/>
      <c r="O190" s="38"/>
      <c r="P190" s="32">
        <v>18</v>
      </c>
      <c r="Q190" s="32"/>
      <c r="R190" s="34">
        <v>46283</v>
      </c>
      <c r="S190" s="53"/>
      <c r="T190" s="52"/>
      <c r="U190" s="32"/>
    </row>
    <row r="191" ht="16.5" spans="2:21">
      <c r="B191" s="30">
        <f t="shared" si="2"/>
        <v>189</v>
      </c>
      <c r="C191" s="30" t="s">
        <v>110</v>
      </c>
      <c r="D191" s="31" t="s">
        <v>128</v>
      </c>
      <c r="E191" s="32" t="s">
        <v>145</v>
      </c>
      <c r="F191" s="33"/>
      <c r="G191" s="34"/>
      <c r="H191" s="34">
        <v>45653</v>
      </c>
      <c r="I191" s="35" t="s">
        <v>223</v>
      </c>
      <c r="J191" s="36">
        <v>26000</v>
      </c>
      <c r="K191" s="37"/>
      <c r="L191" s="35"/>
      <c r="M191" s="32"/>
      <c r="N191" s="32"/>
      <c r="O191" s="38" t="s">
        <v>145</v>
      </c>
      <c r="P191" s="32"/>
      <c r="Q191" s="32"/>
      <c r="R191" s="34">
        <v>45653</v>
      </c>
      <c r="S191" s="53"/>
      <c r="T191" s="52"/>
      <c r="U191" s="32"/>
    </row>
    <row r="192" ht="16.5" spans="2:21">
      <c r="B192" s="30">
        <f t="shared" si="2"/>
        <v>190</v>
      </c>
      <c r="C192" s="30" t="s">
        <v>114</v>
      </c>
      <c r="D192" s="32" t="s">
        <v>47</v>
      </c>
      <c r="E192" s="32" t="s">
        <v>39</v>
      </c>
      <c r="F192" s="33">
        <v>44649</v>
      </c>
      <c r="G192" s="33"/>
      <c r="H192" s="33">
        <v>45258</v>
      </c>
      <c r="I192" s="32" t="s">
        <v>40</v>
      </c>
      <c r="J192" s="54">
        <f>120000-20000</f>
        <v>100000</v>
      </c>
      <c r="K192" s="54"/>
      <c r="L192" s="32"/>
      <c r="M192" s="32">
        <f>100000*0.025</f>
        <v>2500</v>
      </c>
      <c r="N192" s="32"/>
      <c r="O192" s="38"/>
      <c r="P192" s="32"/>
      <c r="Q192" s="32"/>
      <c r="R192" s="33">
        <v>45743</v>
      </c>
      <c r="S192" s="53">
        <v>0.025</v>
      </c>
      <c r="T192" s="52">
        <v>3000</v>
      </c>
      <c r="U192" s="32" t="s">
        <v>30</v>
      </c>
    </row>
    <row r="193" ht="16.5" spans="2:21">
      <c r="B193" s="30">
        <f t="shared" si="2"/>
        <v>191</v>
      </c>
      <c r="C193" s="30" t="s">
        <v>114</v>
      </c>
      <c r="D193" s="32" t="s">
        <v>47</v>
      </c>
      <c r="E193" s="32" t="s">
        <v>39</v>
      </c>
      <c r="F193" s="33">
        <v>46149</v>
      </c>
      <c r="G193" s="33">
        <v>46238</v>
      </c>
      <c r="H193" s="33"/>
      <c r="I193" s="35" t="s">
        <v>40</v>
      </c>
      <c r="J193" s="32">
        <v>20000</v>
      </c>
      <c r="K193" s="32"/>
      <c r="L193" s="35">
        <v>3519260523</v>
      </c>
      <c r="M193" s="32">
        <f>J193*0.025</f>
        <v>500</v>
      </c>
      <c r="N193" s="32"/>
      <c r="O193" s="38"/>
      <c r="P193" s="32"/>
      <c r="Q193" s="32"/>
      <c r="R193" s="33">
        <v>46149</v>
      </c>
      <c r="S193" s="53">
        <v>0.025</v>
      </c>
      <c r="T193" s="52"/>
      <c r="U193" s="32"/>
    </row>
    <row r="194" ht="16.5" spans="2:21">
      <c r="B194" s="30">
        <f t="shared" si="2"/>
        <v>192</v>
      </c>
      <c r="C194" s="30" t="s">
        <v>114</v>
      </c>
      <c r="D194" s="32" t="s">
        <v>47</v>
      </c>
      <c r="E194" s="32" t="s">
        <v>28</v>
      </c>
      <c r="F194" s="33">
        <v>45819</v>
      </c>
      <c r="G194" s="33">
        <v>45998</v>
      </c>
      <c r="H194" s="33"/>
      <c r="I194" s="35" t="s">
        <v>71</v>
      </c>
      <c r="J194" s="32">
        <v>790000</v>
      </c>
      <c r="K194" s="32"/>
      <c r="L194" s="32">
        <v>3519252792</v>
      </c>
      <c r="M194" s="32">
        <f>790000*0.025</f>
        <v>19750</v>
      </c>
      <c r="N194" s="32"/>
      <c r="O194" s="38"/>
      <c r="P194" s="32">
        <v>11</v>
      </c>
      <c r="Q194" s="32"/>
      <c r="R194" s="33">
        <v>45819</v>
      </c>
      <c r="S194" s="53">
        <v>0.025</v>
      </c>
      <c r="T194" s="52"/>
      <c r="U194" s="32" t="s">
        <v>30</v>
      </c>
    </row>
    <row r="195" ht="16.5" spans="2:21">
      <c r="B195" s="30">
        <f t="shared" ref="B195:B203" si="3">ROW()-2</f>
        <v>193</v>
      </c>
      <c r="C195" s="30" t="s">
        <v>114</v>
      </c>
      <c r="D195" s="32" t="s">
        <v>47</v>
      </c>
      <c r="E195" s="32" t="s">
        <v>28</v>
      </c>
      <c r="F195" s="33">
        <v>45723</v>
      </c>
      <c r="G195" s="33">
        <v>45812</v>
      </c>
      <c r="H195" s="33"/>
      <c r="I195" s="35" t="s">
        <v>67</v>
      </c>
      <c r="J195" s="32">
        <f>550000-300000</f>
        <v>250000</v>
      </c>
      <c r="K195" s="32"/>
      <c r="L195" s="32">
        <v>3519252780</v>
      </c>
      <c r="M195" s="32">
        <f>550000*0.025</f>
        <v>13750</v>
      </c>
      <c r="N195" s="32"/>
      <c r="O195" s="38"/>
      <c r="P195" s="32">
        <v>7</v>
      </c>
      <c r="Q195" s="32"/>
      <c r="R195" s="33">
        <v>45968</v>
      </c>
      <c r="S195" s="53">
        <v>0.025</v>
      </c>
      <c r="T195" s="52"/>
      <c r="U195" s="32" t="s">
        <v>30</v>
      </c>
    </row>
    <row r="196" ht="16.5" spans="2:21">
      <c r="B196" s="30">
        <f t="shared" si="3"/>
        <v>194</v>
      </c>
      <c r="C196" s="30" t="s">
        <v>110</v>
      </c>
      <c r="D196" s="31" t="s">
        <v>81</v>
      </c>
      <c r="E196" s="32" t="s">
        <v>224</v>
      </c>
      <c r="F196" s="33"/>
      <c r="G196" s="34"/>
      <c r="H196" s="34">
        <v>46120</v>
      </c>
      <c r="I196" s="35" t="s">
        <v>225</v>
      </c>
      <c r="J196" s="36">
        <v>70000</v>
      </c>
      <c r="K196" s="37"/>
      <c r="L196" s="35"/>
      <c r="M196" s="32">
        <v>1750</v>
      </c>
      <c r="N196" s="32"/>
      <c r="O196" s="38"/>
      <c r="P196" s="32">
        <v>7</v>
      </c>
      <c r="Q196" s="32"/>
      <c r="R196" s="34">
        <v>46210</v>
      </c>
      <c r="S196" s="53"/>
      <c r="T196" s="52"/>
      <c r="U196" s="32"/>
    </row>
    <row r="197" ht="16.5" spans="2:21">
      <c r="B197" s="30">
        <f t="shared" si="3"/>
        <v>195</v>
      </c>
      <c r="C197" s="30" t="s">
        <v>110</v>
      </c>
      <c r="D197" s="31" t="s">
        <v>128</v>
      </c>
      <c r="E197" s="32" t="s">
        <v>32</v>
      </c>
      <c r="F197" s="33"/>
      <c r="G197" s="64">
        <v>46333</v>
      </c>
      <c r="H197" s="34">
        <v>46274</v>
      </c>
      <c r="I197" s="35" t="s">
        <v>226</v>
      </c>
      <c r="J197" s="36">
        <v>50000</v>
      </c>
      <c r="K197" s="37"/>
      <c r="L197" s="35"/>
      <c r="M197" s="32">
        <v>1250</v>
      </c>
      <c r="N197" s="32"/>
      <c r="O197" s="38"/>
      <c r="P197" s="32">
        <v>9</v>
      </c>
      <c r="Q197" s="32"/>
      <c r="R197" s="34">
        <v>46274</v>
      </c>
      <c r="S197" s="53"/>
      <c r="T197" s="52"/>
      <c r="U197" s="32"/>
    </row>
    <row r="198" ht="16.5" spans="2:21">
      <c r="B198" s="30">
        <f t="shared" si="3"/>
        <v>196</v>
      </c>
      <c r="C198" s="30" t="s">
        <v>114</v>
      </c>
      <c r="D198" s="32" t="s">
        <v>47</v>
      </c>
      <c r="E198" s="32" t="s">
        <v>28</v>
      </c>
      <c r="F198" s="33">
        <v>44818</v>
      </c>
      <c r="G198" s="33"/>
      <c r="H198" s="33">
        <v>45244</v>
      </c>
      <c r="I198" s="32" t="s">
        <v>42</v>
      </c>
      <c r="J198" s="54">
        <v>200000</v>
      </c>
      <c r="K198" s="54"/>
      <c r="L198" s="32">
        <v>3519121345</v>
      </c>
      <c r="M198" s="32">
        <v>5000</v>
      </c>
      <c r="N198" s="32"/>
      <c r="O198" s="38"/>
      <c r="P198" s="32">
        <v>14</v>
      </c>
      <c r="Q198" s="32"/>
      <c r="R198" s="33">
        <v>45336</v>
      </c>
      <c r="S198" s="53">
        <v>0.025</v>
      </c>
      <c r="T198" s="52">
        <v>5000</v>
      </c>
      <c r="U198" s="32" t="s">
        <v>30</v>
      </c>
    </row>
    <row r="199" ht="16.5" spans="2:21">
      <c r="B199" s="30">
        <f t="shared" si="3"/>
        <v>197</v>
      </c>
      <c r="C199" s="30" t="s">
        <v>110</v>
      </c>
      <c r="D199" s="31" t="s">
        <v>128</v>
      </c>
      <c r="E199" s="32" t="s">
        <v>28</v>
      </c>
      <c r="F199" s="33"/>
      <c r="G199" s="55"/>
      <c r="H199" s="55">
        <v>44088</v>
      </c>
      <c r="I199" s="35" t="s">
        <v>42</v>
      </c>
      <c r="J199" s="36">
        <v>50000</v>
      </c>
      <c r="K199" s="36"/>
      <c r="L199" s="35"/>
      <c r="M199" s="32">
        <v>1250</v>
      </c>
      <c r="N199" s="32"/>
      <c r="O199" s="38"/>
      <c r="P199" s="32">
        <v>14</v>
      </c>
      <c r="Q199" s="32"/>
      <c r="R199" s="55">
        <v>45336</v>
      </c>
      <c r="S199" s="53"/>
      <c r="T199" s="52"/>
      <c r="U199" s="32"/>
    </row>
    <row r="200" ht="16.5" spans="2:21">
      <c r="B200" s="30">
        <f t="shared" si="3"/>
        <v>198</v>
      </c>
      <c r="C200" s="30" t="s">
        <v>114</v>
      </c>
      <c r="D200" s="32" t="s">
        <v>47</v>
      </c>
      <c r="E200" s="32" t="s">
        <v>43</v>
      </c>
      <c r="F200" s="33">
        <v>44834</v>
      </c>
      <c r="G200" s="33"/>
      <c r="H200" s="33">
        <v>45214</v>
      </c>
      <c r="I200" s="32" t="s">
        <v>44</v>
      </c>
      <c r="J200" s="54">
        <v>75000</v>
      </c>
      <c r="K200" s="54"/>
      <c r="L200" s="32">
        <v>3519123869</v>
      </c>
      <c r="M200" s="32">
        <v>1875</v>
      </c>
      <c r="N200" s="32"/>
      <c r="O200" s="38"/>
      <c r="P200" s="32">
        <v>30</v>
      </c>
      <c r="Q200" s="32"/>
      <c r="R200" s="33">
        <v>45229</v>
      </c>
      <c r="S200" s="53">
        <v>0.025</v>
      </c>
      <c r="T200" s="52">
        <v>1875</v>
      </c>
      <c r="U200" s="32" t="s">
        <v>30</v>
      </c>
    </row>
    <row r="201" ht="16.5" spans="2:21">
      <c r="B201" s="30">
        <f t="shared" si="3"/>
        <v>199</v>
      </c>
      <c r="C201" s="30" t="s">
        <v>114</v>
      </c>
      <c r="D201" s="32" t="s">
        <v>47</v>
      </c>
      <c r="E201" s="32" t="s">
        <v>28</v>
      </c>
      <c r="F201" s="33">
        <v>45034</v>
      </c>
      <c r="G201" s="33"/>
      <c r="H201" s="33">
        <v>45248</v>
      </c>
      <c r="I201" s="32" t="s">
        <v>48</v>
      </c>
      <c r="J201" s="54">
        <v>150000</v>
      </c>
      <c r="K201" s="36"/>
      <c r="L201" s="32"/>
      <c r="M201" s="32">
        <v>4200</v>
      </c>
      <c r="N201" s="32"/>
      <c r="O201" s="38"/>
      <c r="P201" s="32">
        <v>12</v>
      </c>
      <c r="Q201" s="32"/>
      <c r="R201" s="33">
        <v>45700</v>
      </c>
      <c r="S201" s="53">
        <v>0.028</v>
      </c>
      <c r="T201" s="52">
        <v>4200</v>
      </c>
      <c r="U201" s="32" t="s">
        <v>30</v>
      </c>
    </row>
    <row r="202" ht="16.5" spans="2:21">
      <c r="B202" s="30">
        <f t="shared" si="3"/>
        <v>200</v>
      </c>
      <c r="C202" s="30" t="s">
        <v>110</v>
      </c>
      <c r="D202" s="31" t="s">
        <v>128</v>
      </c>
      <c r="E202" s="32" t="s">
        <v>28</v>
      </c>
      <c r="F202" s="33"/>
      <c r="G202" s="55"/>
      <c r="H202" s="55">
        <v>45040</v>
      </c>
      <c r="I202" s="35" t="s">
        <v>48</v>
      </c>
      <c r="J202" s="36">
        <v>900000</v>
      </c>
      <c r="K202" s="37"/>
      <c r="L202" s="35"/>
      <c r="M202" s="32">
        <v>25200</v>
      </c>
      <c r="N202" s="32"/>
      <c r="O202" s="38"/>
      <c r="P202" s="32">
        <v>13</v>
      </c>
      <c r="Q202" s="32"/>
      <c r="R202" s="55">
        <v>45701</v>
      </c>
      <c r="S202" s="53"/>
      <c r="T202" s="52"/>
      <c r="U202" s="32"/>
    </row>
    <row r="203" ht="16.5" spans="2:21">
      <c r="B203" s="30">
        <f t="shared" si="3"/>
        <v>201</v>
      </c>
      <c r="C203" s="30" t="s">
        <v>110</v>
      </c>
      <c r="D203" s="31" t="s">
        <v>128</v>
      </c>
      <c r="E203" s="32" t="s">
        <v>145</v>
      </c>
      <c r="F203" s="33"/>
      <c r="G203" s="55"/>
      <c r="H203" s="55">
        <v>44896</v>
      </c>
      <c r="I203" s="35" t="s">
        <v>227</v>
      </c>
      <c r="J203" s="36">
        <v>20000</v>
      </c>
      <c r="K203" s="37"/>
      <c r="L203" s="35"/>
      <c r="M203" s="32"/>
      <c r="N203" s="32"/>
      <c r="O203" s="38" t="s">
        <v>145</v>
      </c>
      <c r="P203" s="32"/>
      <c r="Q203" s="32"/>
      <c r="R203" s="55"/>
      <c r="S203" s="53"/>
      <c r="T203" s="52"/>
      <c r="U203" s="32"/>
    </row>
  </sheetData>
  <mergeCells count="1">
    <mergeCell ref="D1:Q1"/>
  </mergeCells>
  <dataValidations count="1">
    <dataValidation type="list" allowBlank="1" showInputMessage="1" showErrorMessage="1" sqref="E2">
      <formula1>资料!$E$2:$E$28</formula1>
    </dataValidation>
  </dataValidations>
  <hyperlinks>
    <hyperlink ref="L157" r:id="rId4" display="3519252755" tooltip="https://ddt2.soudang.com/ddt/business/pawn/javascript:showBillDetail('DD353561729760879068');"/>
  </hyperlinks>
  <pageMargins left="0.75" right="0.75" top="1" bottom="1" header="0.5" footer="0.5"/>
  <pageSetup paperSize="9" orientation="portrait"/>
  <headerFooter/>
  <legacy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E24"/>
  <sheetViews>
    <sheetView workbookViewId="0">
      <selection activeCell="E14" sqref="E14"/>
    </sheetView>
  </sheetViews>
  <sheetFormatPr defaultColWidth="9" defaultRowHeight="16" customHeight="1" outlineLevelCol="4"/>
  <cols>
    <col min="1" max="2" width="9" style="3"/>
    <col min="3" max="3" width="10.625" style="3" customWidth="1"/>
    <col min="4" max="4" width="11.875" style="3" customWidth="1"/>
    <col min="5" max="5" width="19.875" style="3" customWidth="1"/>
    <col min="6" max="16384" width="9" style="3"/>
  </cols>
  <sheetData>
    <row r="2" s="1" customFormat="1" customHeight="1" spans="2:5">
      <c r="B2" s="1" t="s">
        <v>228</v>
      </c>
      <c r="C2" s="1" t="s">
        <v>229</v>
      </c>
      <c r="D2" s="1" t="s">
        <v>106</v>
      </c>
      <c r="E2" s="1" t="s">
        <v>3</v>
      </c>
    </row>
    <row r="3" customHeight="1" spans="2:5">
      <c r="B3" s="3">
        <v>1</v>
      </c>
      <c r="C3" s="3" t="s">
        <v>114</v>
      </c>
      <c r="D3" s="3" t="s">
        <v>47</v>
      </c>
      <c r="E3" s="3" t="s">
        <v>32</v>
      </c>
    </row>
    <row r="4" customHeight="1" spans="2:5">
      <c r="B4" s="3">
        <v>2</v>
      </c>
      <c r="C4" s="3" t="s">
        <v>230</v>
      </c>
      <c r="D4" s="3" t="s">
        <v>86</v>
      </c>
      <c r="E4" s="3" t="s">
        <v>39</v>
      </c>
    </row>
    <row r="5" customHeight="1" spans="2:5">
      <c r="B5" s="3">
        <v>3</v>
      </c>
      <c r="C5" s="3" t="s">
        <v>231</v>
      </c>
      <c r="D5" s="3" t="s">
        <v>31</v>
      </c>
      <c r="E5" s="3" t="s">
        <v>184</v>
      </c>
    </row>
    <row r="6" customHeight="1" spans="2:5">
      <c r="B6" s="3">
        <v>4</v>
      </c>
      <c r="D6" s="9" t="s">
        <v>81</v>
      </c>
      <c r="E6" s="3" t="s">
        <v>59</v>
      </c>
    </row>
    <row r="7" customHeight="1" spans="2:5">
      <c r="B7" s="3">
        <v>5</v>
      </c>
      <c r="D7" s="9" t="s">
        <v>84</v>
      </c>
      <c r="E7" s="3" t="s">
        <v>28</v>
      </c>
    </row>
    <row r="8" customHeight="1" spans="2:5">
      <c r="B8" s="3">
        <v>6</v>
      </c>
      <c r="D8" s="9" t="s">
        <v>92</v>
      </c>
      <c r="E8" s="3" t="s">
        <v>43</v>
      </c>
    </row>
    <row r="9" customHeight="1" spans="2:5">
      <c r="B9" s="3">
        <v>7</v>
      </c>
      <c r="D9" s="9" t="s">
        <v>58</v>
      </c>
      <c r="E9" s="3" t="s">
        <v>116</v>
      </c>
    </row>
    <row r="10" customHeight="1" spans="2:5">
      <c r="B10" s="3">
        <v>8</v>
      </c>
      <c r="D10" s="9" t="s">
        <v>157</v>
      </c>
      <c r="E10" s="3" t="s">
        <v>122</v>
      </c>
    </row>
    <row r="11" customHeight="1" spans="2:5">
      <c r="B11" s="3">
        <v>9</v>
      </c>
      <c r="D11" s="9" t="s">
        <v>158</v>
      </c>
      <c r="E11" s="3" t="s">
        <v>145</v>
      </c>
    </row>
    <row r="12" customHeight="1" spans="2:5">
      <c r="B12" s="3">
        <v>10</v>
      </c>
      <c r="D12" s="10" t="s">
        <v>128</v>
      </c>
      <c r="E12" s="3" t="s">
        <v>224</v>
      </c>
    </row>
    <row r="13" customHeight="1" spans="2:5">
      <c r="B13" s="3">
        <v>11</v>
      </c>
      <c r="D13" s="11" t="s">
        <v>181</v>
      </c>
      <c r="E13" s="3" t="s">
        <v>129</v>
      </c>
    </row>
    <row r="14" customHeight="1" spans="2:5">
      <c r="B14" s="3">
        <v>12</v>
      </c>
      <c r="D14" s="9" t="s">
        <v>201</v>
      </c>
    </row>
    <row r="15" customHeight="1" spans="2:5">
      <c r="B15" s="3">
        <v>13</v>
      </c>
      <c r="D15" s="9" t="s">
        <v>149</v>
      </c>
    </row>
    <row r="16" customHeight="1" spans="2:5">
      <c r="B16" s="3">
        <v>14</v>
      </c>
      <c r="D16" s="9" t="s">
        <v>219</v>
      </c>
    </row>
    <row r="17" customHeight="1" spans="2:4">
      <c r="B17" s="3">
        <v>15</v>
      </c>
      <c r="D17" s="9" t="s">
        <v>220</v>
      </c>
    </row>
    <row r="18" customHeight="1" spans="2:4">
      <c r="B18" s="3">
        <v>16</v>
      </c>
      <c r="D18" s="11" t="s">
        <v>221</v>
      </c>
    </row>
    <row r="19" customHeight="1" spans="2:4">
      <c r="B19" s="3">
        <v>17</v>
      </c>
      <c r="D19" s="9" t="s">
        <v>120</v>
      </c>
    </row>
    <row r="20" customHeight="1" spans="2:4">
      <c r="B20" s="3">
        <v>18</v>
      </c>
      <c r="D20" s="10" t="s">
        <v>141</v>
      </c>
    </row>
    <row r="21" customHeight="1" spans="2:4">
      <c r="B21" s="3">
        <v>19</v>
      </c>
      <c r="D21" s="9"/>
    </row>
    <row r="22" customHeight="1" spans="2:4">
      <c r="B22" s="3">
        <v>20</v>
      </c>
      <c r="D22" s="9"/>
    </row>
    <row r="23" customHeight="1" spans="2:4">
      <c r="D23" s="9"/>
    </row>
    <row r="24" customHeight="1" spans="2:4">
      <c r="D24" s="9"/>
    </row>
  </sheetData>
  <pageMargins left="0.75" right="0.75" top="1" bottom="1" header="0.5" footer="0.5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U35"/>
  <sheetViews>
    <sheetView topLeftCell="B1" workbookViewId="0">
      <pane ySplit="2" topLeftCell="A3" activePane="bottomLeft" state="frozen"/>
      <selection/>
      <selection pane="bottomLeft" activeCell="L3" sqref="L3"/>
    </sheetView>
  </sheetViews>
  <sheetFormatPr defaultColWidth="9" defaultRowHeight="20" customHeight="1"/>
  <cols>
    <col min="1" max="1" width="9" style="3"/>
    <col min="2" max="2" width="4.625" style="3" customWidth="1"/>
    <col min="3" max="3" width="9" style="3"/>
    <col min="4" max="4" width="11.75" style="3" customWidth="1"/>
    <col min="5" max="5" width="15.625" style="3" customWidth="1"/>
    <col min="6" max="6" width="22.5" style="3" customWidth="1"/>
    <col min="7" max="9" width="14.25" style="3" customWidth="1"/>
    <col min="10" max="10" width="3.5" style="3" customWidth="1"/>
    <col min="11" max="11" width="6.625" style="3" customWidth="1"/>
    <col min="12" max="12" width="12.125" style="3" customWidth="1"/>
    <col min="13" max="13" width="11.75" style="3" customWidth="1"/>
    <col min="14" max="14" width="8.625" style="3" customWidth="1"/>
    <col min="15" max="15" width="10.75" style="3" customWidth="1"/>
    <col min="16" max="16" width="9" style="3"/>
    <col min="17" max="18" width="9.875" style="3" customWidth="1"/>
    <col min="19" max="19" width="9" style="3"/>
    <col min="20" max="20" width="10.125" style="3" customWidth="1"/>
    <col min="21" max="16384" width="9" style="3"/>
  </cols>
  <sheetData>
    <row r="2" s="1" customFormat="1" customHeight="1" spans="2:21">
      <c r="C2" s="1" t="s">
        <v>6</v>
      </c>
      <c r="D2" s="1"/>
      <c r="E2" s="1" t="s">
        <v>232</v>
      </c>
      <c r="K2" s="4" t="s">
        <v>228</v>
      </c>
      <c r="L2" s="4" t="s">
        <v>105</v>
      </c>
      <c r="M2" s="4" t="s">
        <v>106</v>
      </c>
      <c r="N2" s="4" t="s">
        <v>233</v>
      </c>
      <c r="O2" s="4" t="s">
        <v>9</v>
      </c>
      <c r="P2" s="4" t="s">
        <v>234</v>
      </c>
      <c r="Q2" s="4" t="s">
        <v>23</v>
      </c>
      <c r="R2" s="4" t="s">
        <v>235</v>
      </c>
      <c r="S2" s="4" t="s">
        <v>109</v>
      </c>
      <c r="T2" s="4" t="s">
        <v>236</v>
      </c>
      <c r="U2" s="4" t="s">
        <v>237</v>
      </c>
    </row>
    <row r="3" customHeight="1" spans="2:21">
      <c r="K3" s="1">
        <v>1</v>
      </c>
    </row>
    <row r="4" customHeight="1" spans="2:21">
      <c r="K4" s="1">
        <v>2</v>
      </c>
    </row>
    <row r="5" customHeight="1" spans="2:21">
      <c r="K5" s="1">
        <v>3</v>
      </c>
    </row>
    <row r="6" customHeight="1" spans="2:21">
      <c r="K6" s="1">
        <v>4</v>
      </c>
    </row>
    <row r="7" customHeight="1" spans="2:21">
      <c r="K7" s="1">
        <v>5</v>
      </c>
    </row>
    <row r="8" customHeight="1" spans="2:21">
      <c r="K8" s="1">
        <v>6</v>
      </c>
    </row>
    <row r="9" customHeight="1" spans="2:21">
      <c r="K9" s="1">
        <v>7</v>
      </c>
    </row>
    <row r="10" customHeight="1" spans="2:21">
      <c r="K10" s="1">
        <v>8</v>
      </c>
    </row>
    <row r="11" customHeight="1" spans="2:21">
      <c r="K11" s="1">
        <v>9</v>
      </c>
    </row>
    <row r="12" s="2" customFormat="1" ht="34" customHeight="1" spans="2:21">
      <c r="B12" s="5"/>
      <c r="C12"/>
      <c r="D12"/>
      <c r="E12" t="str">
        <f>IF(D2&gt;0,D2,"")</f>
        <v/>
      </c>
      <c r="F12" s="6" t="s">
        <v>238</v>
      </c>
      <c r="G12"/>
      <c r="H12"/>
      <c r="I12"/>
      <c r="J12" s="2"/>
      <c r="K12" s="2">
        <v>10</v>
      </c>
    </row>
    <row r="13" customHeight="1" spans="2:21">
      <c r="B13" s="7" t="s">
        <v>228</v>
      </c>
      <c r="C13" s="7" t="s">
        <v>239</v>
      </c>
      <c r="D13" s="7" t="s">
        <v>240</v>
      </c>
      <c r="E13" s="8" t="s">
        <v>241</v>
      </c>
      <c r="F13" s="7" t="s">
        <v>242</v>
      </c>
      <c r="G13" s="7" t="s">
        <v>243</v>
      </c>
      <c r="H13" s="7" t="s">
        <v>244</v>
      </c>
      <c r="I13" s="7" t="s">
        <v>237</v>
      </c>
      <c r="K13" s="1">
        <v>11</v>
      </c>
    </row>
    <row r="14" customHeight="1" spans="2:21">
      <c r="B14" s="3">
        <v>1</v>
      </c>
      <c r="K14" s="1">
        <v>12</v>
      </c>
    </row>
    <row r="15" customHeight="1" spans="2:21">
      <c r="B15" s="3">
        <v>2</v>
      </c>
    </row>
    <row r="16" customHeight="1" spans="2:21">
      <c r="B16" s="3">
        <v>3</v>
      </c>
    </row>
    <row r="17" customHeight="1" spans="2:17">
      <c r="B17" s="3">
        <v>4</v>
      </c>
    </row>
    <row r="18" customHeight="1" spans="2:17">
      <c r="B18" s="3">
        <v>5</v>
      </c>
      <c r="K18" s="1"/>
      <c r="L18" s="1"/>
      <c r="M18" s="1"/>
      <c r="N18" s="1"/>
      <c r="O18" s="1"/>
      <c r="P18" s="1"/>
      <c r="Q18" s="1"/>
    </row>
    <row r="19" customHeight="1" spans="2:17">
      <c r="B19" s="3">
        <v>6</v>
      </c>
    </row>
    <row r="20" customHeight="1" spans="2:17">
      <c r="B20" s="3">
        <v>7</v>
      </c>
    </row>
    <row r="21" customHeight="1" spans="2:17">
      <c r="B21" s="3">
        <v>8</v>
      </c>
    </row>
    <row r="22" customHeight="1" spans="2:17">
      <c r="B22" s="3">
        <v>9</v>
      </c>
    </row>
    <row r="23" customHeight="1" spans="2:17">
      <c r="B23" s="3">
        <v>10</v>
      </c>
    </row>
    <row r="24" customHeight="1" spans="2:17">
      <c r="B24" s="3">
        <v>11</v>
      </c>
    </row>
    <row r="25" customHeight="1" spans="2:17">
      <c r="B25" s="3">
        <v>12</v>
      </c>
    </row>
    <row r="26" customHeight="1" spans="2:17">
      <c r="B26" s="3">
        <v>13</v>
      </c>
    </row>
    <row r="27" customHeight="1" spans="2:17">
      <c r="B27" s="3">
        <v>14</v>
      </c>
    </row>
    <row r="28" customHeight="1" spans="2:17">
      <c r="B28" s="3">
        <v>15</v>
      </c>
    </row>
    <row r="29" customHeight="1" spans="2:17">
      <c r="B29" s="3">
        <v>16</v>
      </c>
    </row>
    <row r="30" customHeight="1" spans="2:17">
      <c r="B30" s="3">
        <v>17</v>
      </c>
    </row>
    <row r="31" customHeight="1" spans="2:17">
      <c r="B31" s="3">
        <v>18</v>
      </c>
    </row>
    <row r="32" customHeight="1" spans="2:17">
      <c r="B32" s="3">
        <v>19</v>
      </c>
    </row>
    <row r="33" customHeight="1" spans="2:2">
      <c r="B33" s="3">
        <v>20</v>
      </c>
    </row>
    <row r="34" customHeight="1" spans="2:2">
      <c r="B34" s="3">
        <v>21</v>
      </c>
    </row>
    <row r="35" customHeight="1" spans="2:2">
      <c r="B35" s="3">
        <v>22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F28" sqref="F28"/>
    </sheetView>
  </sheetViews>
  <sheetFormatPr defaultColWidth="9" defaultRowHeight="13.5"/>
  <sheetData/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H29" sqref="H29"/>
    </sheetView>
  </sheetViews>
  <sheetFormatPr defaultColWidth="9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Sheet1</vt:lpstr>
      <vt:lpstr>Sheet2</vt:lpstr>
      <vt:lpstr>资料</vt:lpstr>
      <vt:lpstr>查询表</vt:lpstr>
      <vt:lpstr>金辉典当</vt:lpstr>
      <vt:lpstr>明道典当</vt:lpstr>
      <vt:lpstr>个人典当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X</cp:lastModifiedBy>
  <dcterms:created xsi:type="dcterms:W3CDTF">2026-09-14T01:21:00Z</dcterms:created>
  <dcterms:modified xsi:type="dcterms:W3CDTF">2026-09-16T05:56:05Z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0D0A4E85371443F69AADB3476F41B9D4_13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  <property fmtid="{D5CDD505-2E9C-101B-9397-08002B2CF9AE}" pid="5" name="KSOReadingLayout">
    <vt:bool>true</vt:bool>
  </property>
</Properties>
</file>